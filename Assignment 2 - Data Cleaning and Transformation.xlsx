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eth\Downloads\"/>
    </mc:Choice>
  </mc:AlternateContent>
  <xr:revisionPtr revIDLastSave="0" documentId="8_{7A671324-C0E8-4ACB-86F8-319C110DE34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structions" sheetId="1" r:id="rId1"/>
    <sheet name="Dataset" sheetId="2" r:id="rId2"/>
    <sheet name="Solu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G35" i="3" l="1" a="1"/>
  <c r="G34" i="3" a="1"/>
  <c r="G33" i="3" a="1"/>
  <c r="G32" i="3" a="1"/>
  <c r="G31" i="3" a="1"/>
  <c r="G30" i="3" a="1"/>
  <c r="G29" i="3" a="1"/>
  <c r="G28" i="3" a="1"/>
  <c r="G27" i="3" a="1"/>
  <c r="G26" i="3" a="1"/>
  <c r="G25" i="3" a="1"/>
  <c r="G24" i="3" a="1"/>
  <c r="G23" i="3" a="1"/>
  <c r="G22" i="3" a="1"/>
  <c r="G21" i="3" a="1"/>
  <c r="G20" i="3" a="1"/>
  <c r="G19" i="3" a="1"/>
  <c r="G18" i="3" a="1"/>
  <c r="G17" i="3" a="1"/>
  <c r="G16" i="3" a="1"/>
  <c r="G15" i="3" a="1"/>
  <c r="G14" i="3" a="1"/>
  <c r="G13" i="3" a="1"/>
  <c r="G12" i="3" a="1"/>
  <c r="G11" i="3" a="1"/>
  <c r="G10" i="3" a="1"/>
  <c r="G9" i="3" a="1"/>
  <c r="G8" i="3" a="1"/>
  <c r="G7" i="3" a="1"/>
  <c r="G6" i="3" a="1"/>
  <c r="G5" i="3" a="1"/>
  <c r="G4" i="3" a="1"/>
  <c r="G3" i="3" a="1"/>
  <c r="G2" i="3" a="1"/>
  <c r="F2" i="3" a="1"/>
  <c r="F3" i="3" a="1"/>
  <c r="F4" i="3" a="1"/>
  <c r="F5" i="3" a="1"/>
  <c r="F6" i="3" a="1"/>
  <c r="F7" i="3" a="1"/>
  <c r="F8" i="3" a="1"/>
  <c r="F9" i="3" a="1"/>
  <c r="F10" i="3" a="1"/>
  <c r="F11" i="3" a="1"/>
  <c r="F12" i="3" a="1"/>
  <c r="F13" i="3" a="1"/>
  <c r="F14" i="3" a="1"/>
  <c r="F15" i="3" a="1"/>
  <c r="F16" i="3" a="1"/>
  <c r="F17" i="3" a="1"/>
  <c r="F18" i="3" a="1"/>
  <c r="F19" i="3" a="1"/>
  <c r="F20" i="3" a="1"/>
  <c r="F21" i="3" a="1"/>
  <c r="F22" i="3" a="1"/>
  <c r="F23" i="3" a="1"/>
  <c r="F24" i="3" a="1"/>
  <c r="F25" i="3" a="1"/>
  <c r="F26" i="3" a="1"/>
  <c r="F27" i="3" a="1"/>
  <c r="F28" i="3" a="1"/>
  <c r="F29" i="3" a="1"/>
  <c r="F30" i="3" a="1"/>
  <c r="F31" i="3" a="1"/>
  <c r="F32" i="3" a="1"/>
  <c r="F33" i="3" a="1"/>
  <c r="F34" i="3" a="1"/>
  <c r="F35" i="3" a="1"/>
  <c r="K27" i="3"/>
  <c r="K28" i="3"/>
  <c r="K29" i="3"/>
  <c r="K30" i="3"/>
  <c r="K31" i="3"/>
  <c r="K32" i="3"/>
  <c r="K33" i="3"/>
  <c r="K34" i="3"/>
  <c r="K35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" i="3"/>
  <c r="J2" i="3" a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2" i="3"/>
  <c r="J3" i="3" a="1"/>
  <c r="J4" i="3" a="1"/>
  <c r="J5" i="3" a="1"/>
  <c r="J6" i="3" a="1"/>
  <c r="J7" i="3" a="1"/>
  <c r="J8" i="3" a="1"/>
  <c r="J9" i="3" a="1"/>
  <c r="J10" i="3" a="1"/>
  <c r="J11" i="3" a="1"/>
  <c r="J12" i="3" a="1"/>
  <c r="J13" i="3" a="1"/>
  <c r="J14" i="3" a="1"/>
  <c r="J15" i="3" a="1"/>
  <c r="J16" i="3" a="1"/>
  <c r="J17" i="3" a="1"/>
  <c r="J18" i="3" a="1"/>
  <c r="J19" i="3" a="1"/>
  <c r="J20" i="3" a="1"/>
  <c r="J21" i="3" a="1"/>
  <c r="J22" i="3" a="1"/>
  <c r="J23" i="3" a="1"/>
  <c r="J24" i="3" a="1"/>
  <c r="J25" i="3" a="1"/>
  <c r="J26" i="3" a="1"/>
  <c r="J27" i="3" a="1"/>
  <c r="J28" i="3" a="1"/>
  <c r="J29" i="3" a="1"/>
  <c r="J30" i="3" a="1"/>
  <c r="J31" i="3" a="1"/>
  <c r="J32" i="3" a="1"/>
  <c r="J33" i="3" a="1"/>
  <c r="J34" i="3" a="1"/>
  <c r="J35" i="3" a="1"/>
  <c r="C2" i="2"/>
  <c r="F2" i="2" a="1"/>
  <c r="F3" i="2" a="1"/>
  <c r="F4" i="2" a="1"/>
  <c r="F5" i="2" a="1"/>
  <c r="F6" i="2" a="1"/>
  <c r="F7" i="2" a="1"/>
  <c r="F8" i="2" a="1"/>
  <c r="F9" i="2" a="1"/>
  <c r="F10" i="2" a="1"/>
  <c r="F11" i="2" a="1"/>
  <c r="F12" i="2" a="1"/>
  <c r="F13" i="2" a="1"/>
  <c r="F14" i="2" a="1"/>
  <c r="F15" i="2" a="1"/>
  <c r="F16" i="2" a="1"/>
  <c r="F17" i="2" a="1"/>
  <c r="F18" i="2" a="1"/>
  <c r="F19" i="2" a="1"/>
  <c r="F20" i="2" a="1"/>
  <c r="F21" i="2" a="1"/>
  <c r="F22" i="2" a="1"/>
  <c r="F23" i="2" a="1"/>
  <c r="F24" i="2" a="1"/>
  <c r="F25" i="2" a="1"/>
  <c r="F26" i="2" a="1"/>
  <c r="F27" i="2" a="1"/>
  <c r="F28" i="2" a="1"/>
  <c r="F29" i="2" a="1"/>
  <c r="F30" i="2" a="1"/>
  <c r="F31" i="2" a="1"/>
  <c r="F32" i="2" a="1"/>
  <c r="F33" i="2" a="1"/>
  <c r="F34" i="2" a="1"/>
  <c r="F35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<sst xmlns="http://schemas.openxmlformats.org/spreadsheetml/2006/main" count="300" uniqueCount="121">
  <si>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</si>
  <si>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</si>
  <si>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</si>
  <si>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</si>
  <si>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</si>
  <si>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</si>
  <si>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</si>
  <si>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</si>
  <si>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</si>
  <si>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</si>
  <si>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</si>
  <si>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</si>
  <si>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</si>
  <si>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</si>
  <si>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</si>
  <si>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</si>
  <si>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</si>
  <si>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</si>
  <si>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</si>
  <si>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</si>
  <si>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</si>
  <si>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</si>
  <si>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</si>
  <si>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</si>
  <si>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</si>
  <si>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</si>
  <si>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</si>
  <si>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</si>
  <si>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</si>
  <si>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</si>
  <si>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</si>
  <si>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</si>
  <si>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</si>
  <si>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</si>
  <si>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</si>
  <si>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</si>
  <si>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</si>
  <si>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</si>
  <si>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</si>
  <si>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</si>
  <si>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</si>
  <si>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</si>
  <si>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</si>
  <si>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</si>
  <si>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</si>
  <si>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</si>
  <si>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</si>
  <si>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</si>
  <si>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</si>
  <si>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</si>
  <si>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</si>
  <si>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</si>
  <si>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</si>
  <si>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</si>
  <si>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</si>
  <si>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</si>
  <si>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</si>
  <si>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</si>
  <si>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</si>
  <si>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</si>
  <si>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</si>
  <si>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</si>
  <si>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</si>
  <si>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</si>
  <si>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</si>
  <si>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</si>
  <si>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</si>
  <si>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</si>
  <si>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</si>
  <si>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</si>
  <si>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</si>
  <si>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</si>
  <si>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</si>
  <si>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</si>
  <si>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</si>
  <si>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</si>
  <si>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</si>
  <si>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</si>
  <si>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</si>
  <si>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</si>
  <si>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</si>
  <si>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</si>
  <si>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</si>
  <si>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</si>
  <si>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</si>
  <si>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</si>
  <si>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</si>
  <si>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</si>
  <si>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</si>
  <si>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</si>
  <si>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</si>
  <si>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</si>
  <si>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</si>
  <si>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</si>
  <si>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</si>
  <si>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</si>
  <si>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</si>
  <si>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</si>
  <si>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</si>
  <si>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</si>
  <si>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</si>
  <si>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</si>
  <si>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</si>
  <si>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</si>
  <si>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</si>
  <si>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</si>
  <si>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</si>
  <si>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</si>
  <si>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</si>
  <si>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</si>
  <si>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</si>
  <si>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</si>
  <si>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</si>
  <si>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</si>
  <si>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</si>
  <si>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</si>
  <si>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Electronicscs</t>
  </si>
  <si>
    <t>Missing price</t>
  </si>
  <si>
    <t>Country</t>
  </si>
  <si>
    <t>Date and Month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</si>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</sst>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$-409]#,##0.00"/>
  </numFmts>
  <fonts count="10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 Unicode MS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5" fillId="0" borderId="1" xfId="0" applyFont="1" applyBorder="1"/>
    <xf numFmtId="0" fontId="0" fillId="0" borderId="1" xfId="0" applyBorder="1"/>
    <xf numFmtId="0" fontId="8" fillId="0" borderId="1" xfId="0" applyFont="1" applyBorder="1" applyAlignment="1">
      <alignment vertical="center"/>
    </xf>
    <xf numFmtId="0" fontId="5" fillId="3" borderId="1" xfId="0" applyFont="1" applyFill="1" applyBorder="1"/>
    <xf numFmtId="169" fontId="5" fillId="0" borderId="1" xfId="0" applyNumberFormat="1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/>
  </sheetViews>
  <sheetFormatPr defaultColWidth="12.5703125" defaultRowHeight="15" customHeight="1"/>
  <cols>
    <col min="1" max="1" width="12.5703125" customWidth="1"/>
    <col min="2" max="2" width="7.42578125" customWidth="1"/>
    <col min="3" max="6" width="12.5703125" customWidth="1"/>
  </cols>
  <sheetData>
    <row r="1" spans="1:11" ht="15.75" customHeight="1">
      <c r="A1" s="1" t="s">
        <v>0</v>
      </c>
    </row>
    <row r="2" spans="1:11" ht="15.75" customHeight="1"/>
    <row r="3" spans="1:11" ht="15.75" customHeight="1">
      <c r="B3" s="2" t="s">
        <v>1</v>
      </c>
    </row>
    <row r="4" spans="1:11" ht="15.75" customHeight="1">
      <c r="C4" s="3" t="s">
        <v>2</v>
      </c>
    </row>
    <row r="5" spans="1:11" ht="15.75" customHeight="1">
      <c r="B5" s="4"/>
      <c r="C5" s="3" t="s">
        <v>3</v>
      </c>
    </row>
    <row r="6" spans="1:11" ht="15.75" customHeight="1">
      <c r="B6" s="4"/>
    </row>
    <row r="7" spans="1:11" ht="15.75" customHeight="1">
      <c r="B7" s="2" t="s">
        <v>4</v>
      </c>
    </row>
    <row r="8" spans="1:11" ht="15.75" customHeight="1">
      <c r="C8" s="3" t="s">
        <v>5</v>
      </c>
    </row>
    <row r="9" spans="1:11" ht="15.75" customHeight="1">
      <c r="C9" s="3" t="s">
        <v>6</v>
      </c>
    </row>
    <row r="10" spans="1:11" ht="15.75" customHeight="1">
      <c r="C10" s="3" t="s">
        <v>7</v>
      </c>
    </row>
    <row r="11" spans="1:11" ht="15.75" customHeight="1">
      <c r="B11" s="4"/>
    </row>
    <row r="12" spans="1:11" ht="15.75" customHeight="1">
      <c r="B12" s="2" t="s">
        <v>8</v>
      </c>
    </row>
    <row r="13" spans="1:11" ht="15.75" customHeight="1">
      <c r="B13" s="2"/>
      <c r="C13" s="3" t="s">
        <v>9</v>
      </c>
    </row>
    <row r="14" spans="1:11" ht="15.75" customHeight="1"/>
    <row r="15" spans="1:11" ht="15.75" customHeight="1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/>
    <row r="29" spans="2:11" ht="15.75" customHeight="1"/>
    <row r="30" spans="2:11" ht="15.75" customHeight="1"/>
    <row r="31" spans="2:11" ht="15.75" customHeight="1"/>
    <row r="32" spans="2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00"/>
  <sheetViews>
    <sheetView topLeftCell="A2" workbookViewId="0">
      <selection activeCell="I2" sqref="I2"/>
    </sheetView>
  </sheetViews>
  <sheetFormatPr defaultColWidth="12.5703125" defaultRowHeight="15" customHeight="1"/>
  <cols>
    <col min="1" max="8" width="12.5703125" customWidth="1"/>
  </cols>
  <sheetData>
    <row r="1" spans="1:18" ht="15.75" customHeight="1">
      <c r="A1" s="7" t="s">
        <v>19</v>
      </c>
      <c r="B1" s="7" t="s">
        <v>20</v>
      </c>
      <c r="C1" s="7"/>
      <c r="D1" s="7" t="s">
        <v>21</v>
      </c>
      <c r="E1" s="7" t="s">
        <v>22</v>
      </c>
      <c r="F1" s="7"/>
      <c r="G1" s="7" t="s">
        <v>23</v>
      </c>
      <c r="H1" s="7" t="s">
        <v>24</v>
      </c>
    </row>
    <row r="2" spans="1:18" ht="15.75" customHeight="1">
      <c r="A2" s="5" t="s">
        <v>25</v>
      </c>
      <c r="B2" s="5" t="s">
        <v>26</v>
      </c>
      <c r="C2" s="9" t="str">
        <f>PROPER(B2)</f>
        <v>Laptop</v>
      </c>
      <c r="D2" s="5" t="s">
        <v>27</v>
      </c>
      <c r="E2" s="5">
        <v>1000</v>
      </c>
      <c r="F2" s="5" cm="1">
        <f t="array" ref="F2">IF(ISBLANK(E2), MEDIAN(IF($G$2:$G$35=G2, $E$2:$E$35)), E2)</f>
        <v>1000</v>
      </c>
      <c r="G2" s="5">
        <v>30</v>
      </c>
      <c r="H2" s="5" t="s">
        <v>28</v>
      </c>
    </row>
    <row r="3" spans="1:18" ht="15.75" customHeight="1">
      <c r="A3" s="8" t="s">
        <v>29</v>
      </c>
      <c r="B3" s="8" t="s">
        <v>30</v>
      </c>
      <c r="C3" s="8"/>
      <c r="D3" s="8" t="s">
        <v>31</v>
      </c>
      <c r="E3" s="8">
        <v>80</v>
      </c>
      <c r="F3" s="5" cm="1">
        <f t="array" ref="F3">IF(ISBLANK(E3), MEDIAN(IF($G$2:$G$35=G3, $E$2:$E$35)), E3)</f>
        <v>80</v>
      </c>
      <c r="G3" s="8">
        <v>15</v>
      </c>
      <c r="H3" s="8" t="s">
        <v>32</v>
      </c>
      <c r="K3" s="2"/>
      <c r="L3" s="5"/>
      <c r="M3" s="5"/>
      <c r="N3" s="5"/>
      <c r="O3" s="5"/>
      <c r="P3" s="5"/>
      <c r="Q3" s="5"/>
      <c r="R3" s="5"/>
    </row>
    <row r="4" spans="1:18" ht="15.75" customHeight="1">
      <c r="A4" s="5" t="s">
        <v>33</v>
      </c>
      <c r="B4" s="5" t="s">
        <v>34</v>
      </c>
      <c r="C4" s="5"/>
      <c r="D4" s="5" t="s">
        <v>35</v>
      </c>
      <c r="E4" s="5">
        <v>130</v>
      </c>
      <c r="F4" s="5" cm="1">
        <f t="array" ref="F4">IF(ISBLANK(E4), MEDIAN(IF($G$2:$G$35=G4, $E$2:$E$35)), E4)</f>
        <v>130</v>
      </c>
      <c r="G4" s="5">
        <v>40</v>
      </c>
      <c r="H4" s="5" t="s">
        <v>36</v>
      </c>
      <c r="K4" s="5"/>
      <c r="L4" s="3"/>
      <c r="M4" s="5"/>
      <c r="N4" s="5"/>
      <c r="O4" s="5"/>
      <c r="P4" s="5"/>
      <c r="Q4" s="5"/>
      <c r="R4" s="5"/>
    </row>
    <row r="5" spans="1:18" ht="15.75" customHeight="1">
      <c r="A5" s="8" t="s">
        <v>37</v>
      </c>
      <c r="B5" s="8" t="s">
        <v>38</v>
      </c>
      <c r="C5" s="8"/>
      <c r="D5" s="8" t="s">
        <v>39</v>
      </c>
      <c r="E5" s="8">
        <v>900</v>
      </c>
      <c r="F5" s="5" cm="1">
        <f t="array" ref="F5">IF(ISBLANK(E5), MEDIAN(IF($G$2:$G$35=G5, $E$2:$E$35)), E5)</f>
        <v>900</v>
      </c>
      <c r="G5" s="8">
        <v>25</v>
      </c>
      <c r="H5" s="8" t="s">
        <v>28</v>
      </c>
      <c r="K5" s="5"/>
      <c r="L5" s="3"/>
      <c r="M5" s="5"/>
      <c r="N5" s="5"/>
      <c r="O5" s="5"/>
      <c r="P5" s="5"/>
      <c r="Q5" s="5"/>
      <c r="R5" s="5"/>
    </row>
    <row r="6" spans="1:18" ht="15.75" customHeight="1">
      <c r="A6" s="5" t="s">
        <v>40</v>
      </c>
      <c r="B6" s="5" t="s">
        <v>41</v>
      </c>
      <c r="C6" s="5"/>
      <c r="D6" s="5" t="s">
        <v>42</v>
      </c>
      <c r="E6" s="5">
        <v>70</v>
      </c>
      <c r="F6" s="5" cm="1">
        <f t="array" ref="F6">IF(ISBLANK(E6), MEDIAN(IF($G$2:$G$35=G6, $E$2:$E$35)), E6)</f>
        <v>70</v>
      </c>
      <c r="G6" s="5">
        <v>20</v>
      </c>
      <c r="H6" s="5"/>
    </row>
    <row r="7" spans="1:18" ht="15.75" customHeight="1">
      <c r="A7" s="8" t="s">
        <v>43</v>
      </c>
      <c r="B7" s="8" t="s">
        <v>44</v>
      </c>
      <c r="C7" s="8"/>
      <c r="D7" s="8" t="s">
        <v>45</v>
      </c>
      <c r="E7" s="8"/>
      <c r="F7" s="5" cm="1">
        <f t="array" ref="F7">IF(ISBLANK(E7), MEDIAN(IF($G$2:$G$35=G7, $E$2:$E$35)), E7)</f>
        <v>400</v>
      </c>
      <c r="G7" s="8">
        <v>45</v>
      </c>
      <c r="H7" s="8" t="s">
        <v>46</v>
      </c>
    </row>
    <row r="8" spans="1:18" ht="15.75" customHeight="1">
      <c r="A8" s="5" t="s">
        <v>47</v>
      </c>
      <c r="B8" s="5" t="s">
        <v>48</v>
      </c>
      <c r="C8" s="5"/>
      <c r="D8" s="5" t="s">
        <v>49</v>
      </c>
      <c r="E8" s="5">
        <v>30</v>
      </c>
      <c r="F8" s="5" cm="1">
        <f t="array" ref="F8">IF(ISBLANK(E8), MEDIAN(IF($G$2:$G$35=G8, $E$2:$E$35)), E8)</f>
        <v>30</v>
      </c>
      <c r="G8" s="5">
        <v>5</v>
      </c>
      <c r="H8" s="5" t="s">
        <v>32</v>
      </c>
    </row>
    <row r="9" spans="1:18" ht="15.75" customHeight="1">
      <c r="A9" s="8" t="s">
        <v>50</v>
      </c>
      <c r="B9" s="8" t="s">
        <v>51</v>
      </c>
      <c r="C9" s="8"/>
      <c r="D9" s="8" t="s">
        <v>52</v>
      </c>
      <c r="E9" s="8">
        <v>90</v>
      </c>
      <c r="F9" s="5" cm="1">
        <f t="array" ref="F9">IF(ISBLANK(E9), MEDIAN(IF($G$2:$G$35=G9, $E$2:$E$35)), E9)</f>
        <v>90</v>
      </c>
      <c r="G9" s="8">
        <v>35</v>
      </c>
      <c r="H9" s="8" t="s">
        <v>36</v>
      </c>
    </row>
    <row r="10" spans="1:18" ht="15.75" customHeight="1">
      <c r="A10" s="5" t="s">
        <v>53</v>
      </c>
      <c r="B10" s="5" t="s">
        <v>54</v>
      </c>
      <c r="C10" s="5"/>
      <c r="D10" s="5" t="s">
        <v>55</v>
      </c>
      <c r="E10" s="5">
        <v>500</v>
      </c>
      <c r="F10" s="5" cm="1">
        <f t="array" ref="F10">IF(ISBLANK(E10), MEDIAN(IF($G$2:$G$35=G10, $E$2:$E$35)), E10)</f>
        <v>500</v>
      </c>
      <c r="G10" s="5">
        <v>50</v>
      </c>
      <c r="H10" s="5" t="s">
        <v>28</v>
      </c>
    </row>
    <row r="11" spans="1:18" ht="15.75" customHeight="1">
      <c r="A11" s="8" t="s">
        <v>56</v>
      </c>
      <c r="B11" s="8" t="s">
        <v>57</v>
      </c>
      <c r="C11" s="8"/>
      <c r="D11" s="8" t="s">
        <v>58</v>
      </c>
      <c r="E11" s="8">
        <v>130</v>
      </c>
      <c r="F11" s="5" cm="1">
        <f t="array" ref="F11">IF(ISBLANK(E11), MEDIAN(IF($G$2:$G$35=G11, $E$2:$E$35)), E11)</f>
        <v>130</v>
      </c>
      <c r="G11" s="8">
        <v>10</v>
      </c>
      <c r="H11" s="8" t="s">
        <v>59</v>
      </c>
    </row>
    <row r="12" spans="1:18" ht="15.75" customHeight="1">
      <c r="A12" s="5" t="s">
        <v>60</v>
      </c>
      <c r="B12" s="5" t="s">
        <v>61</v>
      </c>
      <c r="C12" s="5"/>
      <c r="D12" s="5" t="s">
        <v>62</v>
      </c>
      <c r="E12" s="5">
        <v>950</v>
      </c>
      <c r="F12" s="5" cm="1">
        <f t="array" ref="F12">IF(ISBLANK(E12), MEDIAN(IF($G$2:$G$35=G12, $E$2:$E$35)), E12)</f>
        <v>950</v>
      </c>
      <c r="G12" s="5">
        <v>25</v>
      </c>
      <c r="H12" s="5" t="s">
        <v>28</v>
      </c>
    </row>
    <row r="13" spans="1:18" ht="15.75" customHeight="1">
      <c r="A13" s="8" t="s">
        <v>63</v>
      </c>
      <c r="B13" s="8" t="s">
        <v>30</v>
      </c>
      <c r="C13" s="8"/>
      <c r="D13" s="8" t="s">
        <v>49</v>
      </c>
      <c r="E13" s="8">
        <v>90</v>
      </c>
      <c r="F13" s="5" cm="1">
        <f t="array" ref="F13">IF(ISBLANK(E13), MEDIAN(IF($G$2:$G$35=G13, $E$2:$E$35)), E13)</f>
        <v>90</v>
      </c>
      <c r="G13" s="8">
        <v>40</v>
      </c>
      <c r="H13" s="8"/>
    </row>
    <row r="14" spans="1:18" ht="15.75" customHeight="1">
      <c r="A14" s="5" t="s">
        <v>64</v>
      </c>
      <c r="B14" s="5" t="s">
        <v>34</v>
      </c>
      <c r="C14" s="5"/>
      <c r="D14" s="5" t="s">
        <v>65</v>
      </c>
      <c r="E14" s="5">
        <v>120</v>
      </c>
      <c r="F14" s="5" cm="1">
        <f t="array" ref="F14">IF(ISBLANK(E14), MEDIAN(IF($G$2:$G$35=G14, $E$2:$E$35)), E14)</f>
        <v>120</v>
      </c>
      <c r="G14" s="5">
        <v>35</v>
      </c>
      <c r="H14" s="5"/>
    </row>
    <row r="15" spans="1:18" ht="15.75" customHeight="1">
      <c r="A15" s="8" t="s">
        <v>66</v>
      </c>
      <c r="B15" s="8" t="s">
        <v>67</v>
      </c>
      <c r="C15" s="8"/>
      <c r="D15" s="8" t="s">
        <v>68</v>
      </c>
      <c r="E15" s="8">
        <v>150</v>
      </c>
      <c r="F15" s="5" cm="1">
        <f t="array" ref="F15">IF(ISBLANK(E15), MEDIAN(IF($G$2:$G$35=G15, $E$2:$E$35)), E15)</f>
        <v>150</v>
      </c>
      <c r="G15" s="8">
        <v>15</v>
      </c>
      <c r="H15" s="8" t="s">
        <v>46</v>
      </c>
    </row>
    <row r="16" spans="1:18" ht="15.75" customHeight="1">
      <c r="A16" s="5" t="s">
        <v>69</v>
      </c>
      <c r="B16" s="5" t="s">
        <v>70</v>
      </c>
      <c r="C16" s="5"/>
      <c r="D16" s="5" t="s">
        <v>71</v>
      </c>
      <c r="E16" s="5">
        <v>250</v>
      </c>
      <c r="F16" s="5" cm="1">
        <f t="array" ref="F16">IF(ISBLANK(E16), MEDIAN(IF($G$2:$G$35=G16, $E$2:$E$35)), E16)</f>
        <v>250</v>
      </c>
      <c r="G16" s="5">
        <v>20</v>
      </c>
      <c r="H16" s="5" t="s">
        <v>46</v>
      </c>
    </row>
    <row r="17" spans="1:8" ht="15.75" customHeight="1">
      <c r="A17" s="8" t="s">
        <v>72</v>
      </c>
      <c r="B17" s="8" t="s">
        <v>73</v>
      </c>
      <c r="C17" s="8"/>
      <c r="D17" s="8" t="s">
        <v>74</v>
      </c>
      <c r="E17" s="8">
        <v>50</v>
      </c>
      <c r="F17" s="5" cm="1">
        <f t="array" ref="F17">IF(ISBLANK(E17), MEDIAN(IF($G$2:$G$35=G17, $E$2:$E$35)), E17)</f>
        <v>50</v>
      </c>
      <c r="G17" s="8">
        <v>35</v>
      </c>
      <c r="H17" s="8" t="s">
        <v>75</v>
      </c>
    </row>
    <row r="18" spans="1:8" ht="15.75" customHeight="1">
      <c r="A18" s="5" t="s">
        <v>76</v>
      </c>
      <c r="B18" s="5" t="s">
        <v>67</v>
      </c>
      <c r="C18" s="5"/>
      <c r="D18" s="5" t="s">
        <v>77</v>
      </c>
      <c r="E18" s="5">
        <v>160</v>
      </c>
      <c r="F18" s="5" cm="1">
        <f t="array" ref="F18">IF(ISBLANK(E18), MEDIAN(IF($G$2:$G$35=G18, $E$2:$E$35)), E18)</f>
        <v>160</v>
      </c>
      <c r="G18" s="5">
        <v>15</v>
      </c>
      <c r="H18" s="5" t="s">
        <v>46</v>
      </c>
    </row>
    <row r="19" spans="1:8" ht="15.75" customHeight="1">
      <c r="A19" s="8" t="s">
        <v>78</v>
      </c>
      <c r="B19" s="8" t="s">
        <v>26</v>
      </c>
      <c r="C19" s="8"/>
      <c r="D19" s="8" t="s">
        <v>79</v>
      </c>
      <c r="E19" s="8">
        <v>980</v>
      </c>
      <c r="F19" s="5" cm="1">
        <f t="array" ref="F19">IF(ISBLANK(E19), MEDIAN(IF($G$2:$G$35=G19, $E$2:$E$35)), E19)</f>
        <v>980</v>
      </c>
      <c r="G19" s="8">
        <v>10</v>
      </c>
      <c r="H19" s="8" t="s">
        <v>28</v>
      </c>
    </row>
    <row r="20" spans="1:8" ht="15.75" customHeight="1">
      <c r="A20" s="5" t="s">
        <v>80</v>
      </c>
      <c r="B20" s="5" t="s">
        <v>81</v>
      </c>
      <c r="C20" s="5"/>
      <c r="D20" s="5" t="s">
        <v>82</v>
      </c>
      <c r="E20" s="5">
        <v>150</v>
      </c>
      <c r="F20" s="5" cm="1">
        <f t="array" ref="F20">IF(ISBLANK(E20), MEDIAN(IF($G$2:$G$35=G20, $E$2:$E$35)), E20)</f>
        <v>150</v>
      </c>
      <c r="G20" s="5">
        <v>15</v>
      </c>
      <c r="H20" s="5" t="s">
        <v>32</v>
      </c>
    </row>
    <row r="21" spans="1:8" ht="15.75" customHeight="1">
      <c r="A21" s="8" t="s">
        <v>83</v>
      </c>
      <c r="B21" s="8" t="s">
        <v>84</v>
      </c>
      <c r="C21" s="8"/>
      <c r="D21" s="8" t="s">
        <v>85</v>
      </c>
      <c r="E21" s="8"/>
      <c r="F21" s="5" cm="1">
        <f t="array" ref="F21">IF(ISBLANK(E21), MEDIAN(IF($G$2:$G$35=G21, $E$2:$E$35)), E21)</f>
        <v>85</v>
      </c>
      <c r="G21" s="8">
        <v>10</v>
      </c>
      <c r="H21" s="8" t="s">
        <v>59</v>
      </c>
    </row>
    <row r="22" spans="1:8" ht="15.75" customHeight="1">
      <c r="A22" s="5" t="s">
        <v>86</v>
      </c>
      <c r="B22" s="5" t="s">
        <v>87</v>
      </c>
      <c r="C22" s="5"/>
      <c r="D22" s="5" t="s">
        <v>88</v>
      </c>
      <c r="E22" s="5">
        <v>700</v>
      </c>
      <c r="F22" s="5" cm="1">
        <f t="array" ref="F22">IF(ISBLANK(E22), MEDIAN(IF($G$2:$G$35=G22, $E$2:$E$35)), E22)</f>
        <v>700</v>
      </c>
      <c r="G22" s="5">
        <v>50</v>
      </c>
      <c r="H22" s="5" t="s">
        <v>28</v>
      </c>
    </row>
    <row r="23" spans="1:8" ht="15.75" customHeight="1">
      <c r="A23" s="8" t="s">
        <v>89</v>
      </c>
      <c r="B23" s="8" t="s">
        <v>90</v>
      </c>
      <c r="C23" s="8"/>
      <c r="D23" s="8" t="s">
        <v>91</v>
      </c>
      <c r="E23" s="8">
        <v>80</v>
      </c>
      <c r="F23" s="5" cm="1">
        <f t="array" ref="F23">IF(ISBLANK(E23), MEDIAN(IF($G$2:$G$35=G23, $E$2:$E$35)), E23)</f>
        <v>80</v>
      </c>
      <c r="G23" s="8">
        <v>20</v>
      </c>
      <c r="H23" s="8" t="s">
        <v>36</v>
      </c>
    </row>
    <row r="24" spans="1:8" ht="15.75" customHeight="1">
      <c r="A24" s="5" t="s">
        <v>92</v>
      </c>
      <c r="B24" s="5" t="s">
        <v>93</v>
      </c>
      <c r="C24" s="5"/>
      <c r="D24" s="5" t="s">
        <v>94</v>
      </c>
      <c r="E24" s="5">
        <v>150</v>
      </c>
      <c r="F24" s="5" cm="1">
        <f t="array" ref="F24">IF(ISBLANK(E24), MEDIAN(IF($G$2:$G$35=G24, $E$2:$E$35)), E24)</f>
        <v>150</v>
      </c>
      <c r="G24" s="5">
        <v>30</v>
      </c>
      <c r="H24" s="5"/>
    </row>
    <row r="25" spans="1:8" ht="15.75" customHeight="1">
      <c r="A25" s="8" t="s">
        <v>72</v>
      </c>
      <c r="B25" s="8" t="s">
        <v>73</v>
      </c>
      <c r="C25" s="8"/>
      <c r="D25" s="8" t="s">
        <v>74</v>
      </c>
      <c r="E25" s="8">
        <v>50</v>
      </c>
      <c r="F25" s="5" cm="1">
        <f t="array" ref="F25">IF(ISBLANK(E25), MEDIAN(IF($G$2:$G$35=G25, $E$2:$E$35)), E25)</f>
        <v>50</v>
      </c>
      <c r="G25" s="8">
        <v>35</v>
      </c>
      <c r="H25" s="8" t="s">
        <v>75</v>
      </c>
    </row>
    <row r="26" spans="1:8" ht="15.75" customHeight="1">
      <c r="A26" s="5" t="s">
        <v>95</v>
      </c>
      <c r="B26" s="5" t="s">
        <v>96</v>
      </c>
      <c r="C26" s="5"/>
      <c r="D26" s="5" t="s">
        <v>97</v>
      </c>
      <c r="E26" s="5">
        <v>800</v>
      </c>
      <c r="F26" s="5" cm="1">
        <f t="array" ref="F26">IF(ISBLANK(E26), MEDIAN(IF($G$2:$G$35=G26, $E$2:$E$35)), E26)</f>
        <v>800</v>
      </c>
      <c r="G26" s="5">
        <v>45</v>
      </c>
      <c r="H26" s="5" t="s">
        <v>28</v>
      </c>
    </row>
    <row r="27" spans="1:8" ht="15.75" customHeight="1">
      <c r="A27" s="8" t="s">
        <v>98</v>
      </c>
      <c r="B27" s="8" t="s">
        <v>81</v>
      </c>
      <c r="C27" s="8"/>
      <c r="D27" s="8" t="s">
        <v>99</v>
      </c>
      <c r="E27" s="8"/>
      <c r="F27" s="5" cm="1">
        <f t="array" ref="F27">IF(ISBLANK(E27), MEDIAN(IF($G$2:$G$35=G27, $E$2:$E$35)), E27)</f>
        <v>925</v>
      </c>
      <c r="G27" s="8">
        <v>25</v>
      </c>
      <c r="H27" s="8" t="s">
        <v>32</v>
      </c>
    </row>
    <row r="28" spans="1:8" ht="15.75" customHeight="1">
      <c r="A28" s="5" t="s">
        <v>100</v>
      </c>
      <c r="B28" s="5" t="s">
        <v>51</v>
      </c>
      <c r="C28" s="5"/>
      <c r="D28" s="5" t="s">
        <v>101</v>
      </c>
      <c r="E28" s="5">
        <v>400</v>
      </c>
      <c r="F28" s="5" cm="1">
        <f t="array" ref="F28">IF(ISBLANK(E28), MEDIAN(IF($G$2:$G$35=G28, $E$2:$E$35)), E28)</f>
        <v>400</v>
      </c>
      <c r="G28" s="5">
        <v>40</v>
      </c>
      <c r="H28" s="5" t="s">
        <v>36</v>
      </c>
    </row>
    <row r="29" spans="1:8" ht="15.75" customHeight="1">
      <c r="A29" s="8" t="s">
        <v>69</v>
      </c>
      <c r="B29" s="8" t="s">
        <v>70</v>
      </c>
      <c r="C29" s="8"/>
      <c r="D29" s="8" t="s">
        <v>71</v>
      </c>
      <c r="E29" s="8">
        <v>250</v>
      </c>
      <c r="F29" s="5" cm="1">
        <f t="array" ref="F29">IF(ISBLANK(E29), MEDIAN(IF($G$2:$G$35=G29, $E$2:$E$35)), E29)</f>
        <v>250</v>
      </c>
      <c r="G29" s="8">
        <v>20</v>
      </c>
      <c r="H29" s="8" t="s">
        <v>46</v>
      </c>
    </row>
    <row r="30" spans="1:8" ht="15.75" customHeight="1">
      <c r="A30" s="5" t="s">
        <v>102</v>
      </c>
      <c r="B30" s="5" t="s">
        <v>103</v>
      </c>
      <c r="C30" s="5"/>
      <c r="D30" s="5" t="s">
        <v>104</v>
      </c>
      <c r="E30" s="5">
        <v>60</v>
      </c>
      <c r="F30" s="5" cm="1">
        <f t="array" ref="F30">IF(ISBLANK(E30), MEDIAN(IF($G$2:$G$35=G30, $E$2:$E$35)), E30)</f>
        <v>60</v>
      </c>
      <c r="G30" s="5">
        <v>30</v>
      </c>
      <c r="H30" s="5" t="s">
        <v>32</v>
      </c>
    </row>
    <row r="31" spans="1:8" ht="15.75" customHeight="1">
      <c r="A31" s="8" t="s">
        <v>105</v>
      </c>
      <c r="B31" s="8" t="s">
        <v>106</v>
      </c>
      <c r="C31" s="8"/>
      <c r="D31" s="8" t="s">
        <v>107</v>
      </c>
      <c r="E31" s="8">
        <v>40</v>
      </c>
      <c r="F31" s="5" cm="1">
        <f t="array" ref="F31">IF(ISBLANK(E31), MEDIAN(IF($G$2:$G$35=G31, $E$2:$E$35)), E31)</f>
        <v>40</v>
      </c>
      <c r="G31" s="8">
        <v>10</v>
      </c>
      <c r="H31" s="8" t="s">
        <v>36</v>
      </c>
    </row>
    <row r="32" spans="1:8" ht="15.75" customHeight="1">
      <c r="A32" s="5" t="s">
        <v>108</v>
      </c>
      <c r="B32" s="5" t="s">
        <v>93</v>
      </c>
      <c r="C32" s="5"/>
      <c r="D32" s="5" t="s">
        <v>109</v>
      </c>
      <c r="E32" s="5">
        <v>130</v>
      </c>
      <c r="F32" s="5" cm="1">
        <f t="array" ref="F32">IF(ISBLANK(E32), MEDIAN(IF($G$2:$G$35=G32, $E$2:$E$35)), E32)</f>
        <v>130</v>
      </c>
      <c r="G32" s="5">
        <v>5</v>
      </c>
      <c r="H32" s="5" t="s">
        <v>28</v>
      </c>
    </row>
    <row r="33" spans="1:8" ht="15.75" customHeight="1">
      <c r="A33" s="8" t="s">
        <v>110</v>
      </c>
      <c r="B33" s="8" t="s">
        <v>111</v>
      </c>
      <c r="C33" s="8"/>
      <c r="D33" s="8" t="s">
        <v>112</v>
      </c>
      <c r="E33" s="8">
        <v>50</v>
      </c>
      <c r="F33" s="5" cm="1">
        <f t="array" ref="F33">IF(ISBLANK(E33), MEDIAN(IF($G$2:$G$35=G33, $E$2:$E$35)), E33)</f>
        <v>50</v>
      </c>
      <c r="G33" s="8">
        <v>50</v>
      </c>
      <c r="H33" s="8" t="s">
        <v>32</v>
      </c>
    </row>
    <row r="34" spans="1:8" ht="15.75" customHeight="1">
      <c r="A34" s="5" t="s">
        <v>60</v>
      </c>
      <c r="B34" s="5" t="s">
        <v>61</v>
      </c>
      <c r="C34" s="5"/>
      <c r="D34" s="5" t="s">
        <v>62</v>
      </c>
      <c r="E34" s="5">
        <v>950</v>
      </c>
      <c r="F34" s="5" cm="1">
        <f t="array" ref="F34">IF(ISBLANK(E34), MEDIAN(IF($G$2:$G$35=G34, $E$2:$E$35)), E34)</f>
        <v>950</v>
      </c>
      <c r="G34" s="5">
        <v>25</v>
      </c>
      <c r="H34" s="5" t="s">
        <v>28</v>
      </c>
    </row>
    <row r="35" spans="1:8" ht="15.75" customHeight="1">
      <c r="A35" s="8" t="s">
        <v>113</v>
      </c>
      <c r="B35" s="8" t="s">
        <v>114</v>
      </c>
      <c r="C35" s="8"/>
      <c r="D35" s="8" t="s">
        <v>115</v>
      </c>
      <c r="E35" s="8">
        <v>100</v>
      </c>
      <c r="F35" s="5" cm="1">
        <f t="array" ref="F35">IF(ISBLANK(E35), MEDIAN(IF($G$2:$G$35=G35, $E$2:$E$35)), E35)</f>
        <v>100</v>
      </c>
      <c r="G35" s="8">
        <v>20</v>
      </c>
      <c r="H35" s="8" t="s">
        <v>75</v>
      </c>
    </row>
    <row r="36" spans="1:8" ht="15.75" customHeight="1"/>
    <row r="37" spans="1:8" ht="15.75" customHeight="1"/>
    <row r="38" spans="1:8" ht="15.75" customHeight="1"/>
    <row r="39" spans="1:8" ht="15.75" customHeight="1"/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F002C-3BCD-45DC-9D8D-85F3A6D77CCD}">
  <dimension ref="A1:N35"/>
  <sheetViews>
    <sheetView tabSelected="1" workbookViewId="0">
      <selection activeCell="G1" sqref="G1"/>
    </sheetView>
  </sheetViews>
  <sheetFormatPr defaultColWidth="12.140625" defaultRowHeight="12.75"/>
  <cols>
    <col min="2" max="2" width="13.7109375" customWidth="1"/>
    <col min="3" max="3" width="14.28515625" customWidth="1"/>
    <col min="10" max="10" width="12.140625" customWidth="1"/>
    <col min="12" max="12" width="16.42578125" customWidth="1"/>
    <col min="14" max="14" width="24.7109375" customWidth="1"/>
  </cols>
  <sheetData>
    <row r="1" spans="1:14">
      <c r="A1" s="10" t="s">
        <v>19</v>
      </c>
      <c r="B1" s="10" t="s">
        <v>20</v>
      </c>
      <c r="C1" s="10"/>
      <c r="D1" s="10" t="s">
        <v>21</v>
      </c>
      <c r="E1" s="11" t="s">
        <v>22</v>
      </c>
      <c r="F1" s="11" t="s">
        <v>117</v>
      </c>
      <c r="G1" s="11" t="s">
        <v>22</v>
      </c>
      <c r="H1" s="10" t="s">
        <v>23</v>
      </c>
      <c r="I1" s="11" t="s">
        <v>24</v>
      </c>
      <c r="J1" s="11"/>
      <c r="K1" s="11"/>
      <c r="L1" s="11" t="s">
        <v>119</v>
      </c>
      <c r="M1" s="11" t="s">
        <v>118</v>
      </c>
      <c r="N1" s="11" t="s">
        <v>120</v>
      </c>
    </row>
    <row r="2" spans="1:14">
      <c r="A2" s="12" t="s">
        <v>25</v>
      </c>
      <c r="B2" s="12" t="s">
        <v>26</v>
      </c>
      <c r="C2" s="12" t="str">
        <f>PROPER(B2)</f>
        <v>Laptop</v>
      </c>
      <c r="D2" s="12" t="s">
        <v>27</v>
      </c>
      <c r="E2" s="12">
        <v>1000</v>
      </c>
      <c r="F2" s="12" cm="1">
        <f t="array" ref="F2">IF(ISBLANK(E2), MEDIAN(IF($H$2:$H$35=H2, $E$2:$E$35)), E2)</f>
        <v>1000</v>
      </c>
      <c r="G2" s="16" cm="1">
        <f t="array" ref="G2">IF(ISBLANK(F2), MEDIAN(IF($H$2:$H$35=I2, $E$2:$E$35)), F2)</f>
        <v>1000</v>
      </c>
      <c r="H2" s="12">
        <v>30</v>
      </c>
      <c r="I2" s="15" t="s">
        <v>28</v>
      </c>
      <c r="J2" s="13" cm="1">
        <f t="array" ref="J2">IF(ISBLANK(H2), _xlfn.SWITCH(B2, Dataset!I2:I17z, "Accessories", "Sneakers", "Fashion", "Coffee Maker", "Kitchen", "Fitness Tracker", "Electronics", "Unknown"), H2)</f>
        <v>30</v>
      </c>
      <c r="K2" s="13" t="str">
        <f>IF(LEFT(TRIM(I2), 9)="Electroni", "Electronics", I2)</f>
        <v>Electronics</v>
      </c>
      <c r="L2" s="13" t="str">
        <f>LEFT(A2, 6)</f>
        <v>28-JAN</v>
      </c>
      <c r="M2" s="14" t="str">
        <f>RIGHT(A2, 2)</f>
        <v>US</v>
      </c>
      <c r="N2" s="13" t="str">
        <f>B2 &amp; " " &amp; PROPER(D2)</f>
        <v>laptop Dell</v>
      </c>
    </row>
    <row r="3" spans="1:14">
      <c r="A3" s="15" t="s">
        <v>29</v>
      </c>
      <c r="B3" s="15" t="s">
        <v>30</v>
      </c>
      <c r="C3" s="12" t="str">
        <f t="shared" ref="C3:C35" si="0">PROPER(B3)</f>
        <v>Sneakers</v>
      </c>
      <c r="D3" s="15" t="s">
        <v>31</v>
      </c>
      <c r="E3" s="15">
        <v>80</v>
      </c>
      <c r="F3" s="12" cm="1">
        <f t="array" ref="F3">IF(ISBLANK(E3), MEDIAN(IF($H$2:$H$35=H3, $E$2:$E$35)), E3)</f>
        <v>80</v>
      </c>
      <c r="G3" s="16" cm="1">
        <f t="array" ref="G3">IF(ISBLANK(F3), MEDIAN(IF($H$2:$H$35=I3, $E$2:$E$35)), F3)</f>
        <v>80</v>
      </c>
      <c r="H3" s="15">
        <v>15</v>
      </c>
      <c r="I3" s="15" t="s">
        <v>32</v>
      </c>
      <c r="J3" s="13" cm="1">
        <f t="array" ref="J3">IF(ISBLANK(H3), _xlfn.SWITCH(B3, "Backpack", "Accessories", "Sneakers", "Fashion", "Coffee Maker", "Kitchen", "Fitness Tracker", "Electronics", "Unknown"), H3)</f>
        <v>15</v>
      </c>
      <c r="K3" s="13" t="str">
        <f t="shared" ref="K3:K35" si="1">IF(LEFT(TRIM(I3), 9)="Electroni", "Electronics", I3)</f>
        <v>Fashion</v>
      </c>
      <c r="L3" s="13" t="str">
        <f t="shared" ref="L3:L35" si="2">LEFT(A3, 6)</f>
        <v>15-FEB</v>
      </c>
      <c r="M3" s="14" t="str">
        <f t="shared" ref="M3:M35" si="3">RIGHT(A3, 2)</f>
        <v>US</v>
      </c>
      <c r="N3" s="13" t="str">
        <f t="shared" ref="N3:N35" si="4">B3 &amp; " " &amp; PROPER(D3)</f>
        <v>Sneakers Nike</v>
      </c>
    </row>
    <row r="4" spans="1:14">
      <c r="A4" s="12" t="s">
        <v>33</v>
      </c>
      <c r="B4" s="12" t="s">
        <v>34</v>
      </c>
      <c r="C4" s="12" t="str">
        <f t="shared" si="0"/>
        <v>Coffee Maker</v>
      </c>
      <c r="D4" s="12" t="s">
        <v>35</v>
      </c>
      <c r="E4" s="12">
        <v>130</v>
      </c>
      <c r="F4" s="12" cm="1">
        <f t="array" ref="F4">IF(ISBLANK(E4), MEDIAN(IF($H$2:$H$35=H4, $E$2:$E$35)), E4)</f>
        <v>130</v>
      </c>
      <c r="G4" s="16" cm="1">
        <f t="array" ref="G4">IF(ISBLANK(F4), MEDIAN(IF($H$2:$H$35=I4, $E$2:$E$35)), F4)</f>
        <v>130</v>
      </c>
      <c r="H4" s="12">
        <v>40</v>
      </c>
      <c r="I4" s="12" t="s">
        <v>36</v>
      </c>
      <c r="J4" s="13" cm="1">
        <f t="array" ref="J4">IF(ISBLANK(H4), _xlfn.SWITCH(B4, "Backpack", "Accessories", "Sneakers", "Fashion", "Coffee Maker", "Kitchen", "Fitness Tracker", "Electronics", "Unknown"), H4)</f>
        <v>40</v>
      </c>
      <c r="K4" s="13" t="str">
        <f t="shared" si="1"/>
        <v>Kitchen</v>
      </c>
      <c r="L4" s="13" t="str">
        <f t="shared" si="2"/>
        <v>03-MAR</v>
      </c>
      <c r="M4" s="14" t="str">
        <f t="shared" si="3"/>
        <v>US</v>
      </c>
      <c r="N4" s="13" t="str">
        <f t="shared" si="4"/>
        <v>Coffee Maker Keurig</v>
      </c>
    </row>
    <row r="5" spans="1:14">
      <c r="A5" s="15" t="s">
        <v>37</v>
      </c>
      <c r="B5" s="15" t="s">
        <v>38</v>
      </c>
      <c r="C5" s="12" t="str">
        <f t="shared" si="0"/>
        <v>Smartphone</v>
      </c>
      <c r="D5" s="15" t="s">
        <v>39</v>
      </c>
      <c r="E5" s="15">
        <v>900</v>
      </c>
      <c r="F5" s="12" cm="1">
        <f t="array" ref="F5">IF(ISBLANK(E5), MEDIAN(IF($H$2:$H$35=H5, $E$2:$E$35)), E5)</f>
        <v>900</v>
      </c>
      <c r="G5" s="16" cm="1">
        <f t="array" ref="G5">IF(ISBLANK(F5), MEDIAN(IF($H$2:$H$35=I5, $E$2:$E$35)), F5)</f>
        <v>900</v>
      </c>
      <c r="H5" s="15">
        <v>25</v>
      </c>
      <c r="I5" s="15" t="s">
        <v>28</v>
      </c>
      <c r="J5" s="13" cm="1">
        <f t="array" ref="J5">IF(ISBLANK(H5), _xlfn.SWITCH(B5, "Backpack", "Accessories", "Sneakers", "Fashion", "Coffee Maker", "Kitchen", "Fitness Tracker", "Electronics", "Unknown"), H5)</f>
        <v>25</v>
      </c>
      <c r="K5" s="13" t="str">
        <f t="shared" si="1"/>
        <v>Electronics</v>
      </c>
      <c r="L5" s="13" t="str">
        <f t="shared" si="2"/>
        <v>11-APR</v>
      </c>
      <c r="M5" s="14" t="str">
        <f t="shared" si="3"/>
        <v>US</v>
      </c>
      <c r="N5" s="13" t="str">
        <f t="shared" si="4"/>
        <v>smartphone Samsung</v>
      </c>
    </row>
    <row r="6" spans="1:14">
      <c r="A6" s="12" t="s">
        <v>40</v>
      </c>
      <c r="B6" s="12" t="s">
        <v>41</v>
      </c>
      <c r="C6" s="12" t="str">
        <f t="shared" si="0"/>
        <v>Backpack</v>
      </c>
      <c r="D6" s="12" t="s">
        <v>42</v>
      </c>
      <c r="E6" s="12">
        <v>70</v>
      </c>
      <c r="F6" s="12" cm="1">
        <f t="array" ref="F6">IF(ISBLANK(E6), MEDIAN(IF($H$2:$H$35=H6, $E$2:$E$35)), E6)</f>
        <v>70</v>
      </c>
      <c r="G6" s="16" cm="1">
        <f t="array" ref="G6">IF(ISBLANK(F6), MEDIAN(IF($H$2:$H$35=I6, $E$2:$E$35)), F6)</f>
        <v>70</v>
      </c>
      <c r="H6" s="12">
        <v>20</v>
      </c>
      <c r="I6" s="12"/>
      <c r="J6" s="13" cm="1">
        <f t="array" ref="J6">IF(ISBLANK(H6), _xlfn.SWITCH(B6, "Backpack", "Accessories", "Sneakers", "Fashion", "Coffee Maker", "Kitchen", "Fitness Tracker", "Electronics", "Unknown"), H6)</f>
        <v>20</v>
      </c>
      <c r="K6" s="13">
        <f t="shared" si="1"/>
        <v>0</v>
      </c>
      <c r="L6" s="13" t="str">
        <f t="shared" si="2"/>
        <v>22-MAY</v>
      </c>
      <c r="M6" s="14" t="str">
        <f t="shared" si="3"/>
        <v>US</v>
      </c>
      <c r="N6" s="13" t="str">
        <f t="shared" si="4"/>
        <v>Backpack North Face</v>
      </c>
    </row>
    <row r="7" spans="1:14">
      <c r="A7" s="15" t="s">
        <v>43</v>
      </c>
      <c r="B7" s="15" t="s">
        <v>44</v>
      </c>
      <c r="C7" s="12" t="str">
        <f t="shared" si="0"/>
        <v>Headphones</v>
      </c>
      <c r="D7" s="15" t="s">
        <v>45</v>
      </c>
      <c r="E7" s="13"/>
      <c r="F7" s="12" cm="1">
        <f t="array" ref="F7">IF(ISBLANK(E7), MEDIAN(IF($H$2:$H$35=H7, $E$2:$E$35)), E7)</f>
        <v>400</v>
      </c>
      <c r="G7" s="16" cm="1">
        <f t="array" ref="G7">IF(ISBLANK(F7), MEDIAN(IF($H$2:$H$35=I7, $E$2:$E$35)), F7)</f>
        <v>400</v>
      </c>
      <c r="H7" s="15">
        <v>45</v>
      </c>
      <c r="I7" s="15" t="s">
        <v>28</v>
      </c>
      <c r="J7" s="13" cm="1">
        <f t="array" ref="J7">IF(ISBLANK(H7), _xlfn.SWITCH(B7, "Backpack", "Accessories", "Sneakers", "Fashion", "Coffee Maker", "Kitchen", "Fitness Tracker", "Electronics", "Unknown"), H7)</f>
        <v>45</v>
      </c>
      <c r="K7" s="13" t="str">
        <f t="shared" si="1"/>
        <v>Electronics</v>
      </c>
      <c r="L7" s="13" t="str">
        <f t="shared" si="2"/>
        <v>07-JUN</v>
      </c>
      <c r="M7" s="14" t="str">
        <f t="shared" si="3"/>
        <v>UK</v>
      </c>
      <c r="N7" s="13" t="str">
        <f t="shared" si="4"/>
        <v>Headphones Sony</v>
      </c>
    </row>
    <row r="8" spans="1:14">
      <c r="A8" s="12" t="s">
        <v>47</v>
      </c>
      <c r="B8" s="12" t="s">
        <v>48</v>
      </c>
      <c r="C8" s="12" t="str">
        <f t="shared" si="0"/>
        <v>T-Shirt</v>
      </c>
      <c r="D8" s="12" t="s">
        <v>49</v>
      </c>
      <c r="E8" s="12">
        <v>30</v>
      </c>
      <c r="F8" s="12" cm="1">
        <f t="array" ref="F8">IF(ISBLANK(E8), MEDIAN(IF($H$2:$H$35=H8, $E$2:$E$35)), E8)</f>
        <v>30</v>
      </c>
      <c r="G8" s="16" cm="1">
        <f t="array" ref="G8">IF(ISBLANK(F8), MEDIAN(IF($H$2:$H$35=I8, $E$2:$E$35)), F8)</f>
        <v>30</v>
      </c>
      <c r="H8" s="12">
        <v>5</v>
      </c>
      <c r="I8" s="12" t="s">
        <v>32</v>
      </c>
      <c r="J8" s="13" cm="1">
        <f t="array" ref="J8">IF(ISBLANK(H8), _xlfn.SWITCH(B8, "Backpack", "Accessories", "Sneakers", "Fashion", "Coffee Maker", "Kitchen", "Fitness Tracker", "Electronics", "Unknown"), H8)</f>
        <v>5</v>
      </c>
      <c r="K8" s="13" t="str">
        <f t="shared" si="1"/>
        <v>Fashion</v>
      </c>
      <c r="L8" s="13" t="str">
        <f t="shared" si="2"/>
        <v>19-JUL</v>
      </c>
      <c r="M8" s="14" t="str">
        <f t="shared" si="3"/>
        <v>UK</v>
      </c>
      <c r="N8" s="13" t="str">
        <f t="shared" si="4"/>
        <v>T-shirt Adidas</v>
      </c>
    </row>
    <row r="9" spans="1:14">
      <c r="A9" s="15" t="s">
        <v>50</v>
      </c>
      <c r="B9" s="15" t="s">
        <v>51</v>
      </c>
      <c r="C9" s="12" t="str">
        <f t="shared" si="0"/>
        <v>Blender</v>
      </c>
      <c r="D9" s="15" t="s">
        <v>52</v>
      </c>
      <c r="E9" s="15">
        <v>90</v>
      </c>
      <c r="F9" s="12" cm="1">
        <f t="array" ref="F9">IF(ISBLANK(E9), MEDIAN(IF($H$2:$H$35=H9, $E$2:$E$35)), E9)</f>
        <v>90</v>
      </c>
      <c r="G9" s="16" cm="1">
        <f t="array" ref="G9">IF(ISBLANK(F9), MEDIAN(IF($H$2:$H$35=I9, $E$2:$E$35)), F9)</f>
        <v>90</v>
      </c>
      <c r="H9" s="15">
        <v>35</v>
      </c>
      <c r="I9" s="15" t="s">
        <v>36</v>
      </c>
      <c r="J9" s="13" cm="1">
        <f t="array" ref="J9">IF(ISBLANK(H9), _xlfn.SWITCH(B9, "Backpack", "Accessories", "Sneakers", "Fashion", "Coffee Maker", "Kitchen", "Fitness Tracker", "Electronics", "Unknown"), H9)</f>
        <v>35</v>
      </c>
      <c r="K9" s="13" t="str">
        <f t="shared" si="1"/>
        <v>Kitchen</v>
      </c>
      <c r="L9" s="13" t="str">
        <f t="shared" si="2"/>
        <v>23-AUG</v>
      </c>
      <c r="M9" s="14" t="str">
        <f t="shared" si="3"/>
        <v>UK</v>
      </c>
      <c r="N9" s="13" t="str">
        <f t="shared" si="4"/>
        <v>Blender Ninja</v>
      </c>
    </row>
    <row r="10" spans="1:14">
      <c r="A10" s="12" t="s">
        <v>53</v>
      </c>
      <c r="B10" s="12" t="s">
        <v>54</v>
      </c>
      <c r="C10" s="12" t="str">
        <f t="shared" si="0"/>
        <v>Tablet</v>
      </c>
      <c r="D10" s="12" t="s">
        <v>55</v>
      </c>
      <c r="E10" s="12">
        <v>500</v>
      </c>
      <c r="F10" s="12" cm="1">
        <f t="array" ref="F10">IF(ISBLANK(E10), MEDIAN(IF($H$2:$H$35=H10, $E$2:$E$35)), E10)</f>
        <v>500</v>
      </c>
      <c r="G10" s="16" cm="1">
        <f t="array" ref="G10">IF(ISBLANK(F10), MEDIAN(IF($H$2:$H$35=I10, $E$2:$E$35)), F10)</f>
        <v>500</v>
      </c>
      <c r="H10" s="12">
        <v>50</v>
      </c>
      <c r="I10" s="12" t="s">
        <v>116</v>
      </c>
      <c r="J10" s="13" cm="1">
        <f t="array" ref="J10">IF(ISBLANK(H10), _xlfn.SWITCH(B10, "Backpack", "Accessories", "Sneakers", "Fashion", "Coffee Maker", "Kitchen", "Fitness Tracker", "Electronics", "Unknown"), H10)</f>
        <v>50</v>
      </c>
      <c r="K10" s="13" t="str">
        <f t="shared" si="1"/>
        <v>Electronics</v>
      </c>
      <c r="L10" s="13" t="str">
        <f t="shared" si="2"/>
        <v>05-SEP</v>
      </c>
      <c r="M10" s="14" t="str">
        <f t="shared" si="3"/>
        <v>UK</v>
      </c>
      <c r="N10" s="13" t="str">
        <f t="shared" si="4"/>
        <v>Tablet Apple</v>
      </c>
    </row>
    <row r="11" spans="1:14">
      <c r="A11" s="15" t="s">
        <v>56</v>
      </c>
      <c r="B11" s="15" t="s">
        <v>57</v>
      </c>
      <c r="C11" s="12" t="str">
        <f t="shared" si="0"/>
        <v>Hiking Boots</v>
      </c>
      <c r="D11" s="15" t="s">
        <v>58</v>
      </c>
      <c r="E11" s="15">
        <v>130</v>
      </c>
      <c r="F11" s="12" cm="1">
        <f t="array" ref="F11">IF(ISBLANK(E11), MEDIAN(IF($H$2:$H$35=H11, $E$2:$E$35)), E11)</f>
        <v>130</v>
      </c>
      <c r="G11" s="16" cm="1">
        <f t="array" ref="G11">IF(ISBLANK(F11), MEDIAN(IF($H$2:$H$35=I11, $E$2:$E$35)), F11)</f>
        <v>130</v>
      </c>
      <c r="H11" s="15">
        <v>10</v>
      </c>
      <c r="I11" s="15" t="s">
        <v>59</v>
      </c>
      <c r="J11" s="13" cm="1">
        <f t="array" ref="J11">IF(ISBLANK(H11), _xlfn.SWITCH(B11, "Backpack", "Accessories", "Sneakers", "Fashion", "Coffee Maker", "Kitchen", "Fitness Tracker", "Electronics", "Unknown"), H11)</f>
        <v>10</v>
      </c>
      <c r="K11" s="13" t="str">
        <f t="shared" si="1"/>
        <v>Outdoor</v>
      </c>
      <c r="L11" s="13" t="str">
        <f t="shared" si="2"/>
        <v>14-OCT</v>
      </c>
      <c r="M11" s="14" t="str">
        <f t="shared" si="3"/>
        <v>UK</v>
      </c>
      <c r="N11" s="13" t="str">
        <f t="shared" si="4"/>
        <v>Hiking Boots Timberland</v>
      </c>
    </row>
    <row r="12" spans="1:14">
      <c r="A12" s="12" t="s">
        <v>60</v>
      </c>
      <c r="B12" s="12" t="s">
        <v>61</v>
      </c>
      <c r="C12" s="12" t="str">
        <f t="shared" si="0"/>
        <v>Laptop</v>
      </c>
      <c r="D12" s="12" t="s">
        <v>62</v>
      </c>
      <c r="E12" s="12">
        <v>950</v>
      </c>
      <c r="F12" s="12" cm="1">
        <f t="array" ref="F12">IF(ISBLANK(E12), MEDIAN(IF($H$2:$H$35=H12, $E$2:$E$35)), E12)</f>
        <v>950</v>
      </c>
      <c r="G12" s="16" cm="1">
        <f t="array" ref="G12">IF(ISBLANK(F12), MEDIAN(IF($H$2:$H$35=I12, $E$2:$E$35)), F12)</f>
        <v>950</v>
      </c>
      <c r="H12" s="12">
        <v>25</v>
      </c>
      <c r="I12" s="12" t="s">
        <v>28</v>
      </c>
      <c r="J12" s="13" cm="1">
        <f t="array" ref="J12">IF(ISBLANK(H12), _xlfn.SWITCH(B12, "Backpack", "Accessories", "Sneakers", "Fashion", "Coffee Maker", "Kitchen", "Fitness Tracker", "Electronics", "Unknown"), H12)</f>
        <v>25</v>
      </c>
      <c r="K12" s="13" t="str">
        <f t="shared" si="1"/>
        <v>Electronics</v>
      </c>
      <c r="L12" s="13" t="str">
        <f t="shared" si="2"/>
        <v>17-JUN</v>
      </c>
      <c r="M12" s="14" t="str">
        <f t="shared" si="3"/>
        <v>IN</v>
      </c>
      <c r="N12" s="13" t="str">
        <f t="shared" si="4"/>
        <v>Laptop Hp</v>
      </c>
    </row>
    <row r="13" spans="1:14">
      <c r="A13" s="15" t="s">
        <v>63</v>
      </c>
      <c r="B13" s="15" t="s">
        <v>30</v>
      </c>
      <c r="C13" s="12" t="str">
        <f t="shared" si="0"/>
        <v>Sneakers</v>
      </c>
      <c r="D13" s="15" t="s">
        <v>49</v>
      </c>
      <c r="E13" s="15">
        <v>90</v>
      </c>
      <c r="F13" s="12" cm="1">
        <f t="array" ref="F13">IF(ISBLANK(E13), MEDIAN(IF($H$2:$H$35=H13, $E$2:$E$35)), E13)</f>
        <v>90</v>
      </c>
      <c r="G13" s="16" cm="1">
        <f t="array" ref="G13">IF(ISBLANK(F13), MEDIAN(IF($H$2:$H$35=I13, $E$2:$E$35)), F13)</f>
        <v>90</v>
      </c>
      <c r="H13" s="15">
        <v>40</v>
      </c>
      <c r="I13" s="15"/>
      <c r="J13" s="13" cm="1">
        <f t="array" ref="J13">IF(ISBLANK(H13), _xlfn.SWITCH(B13, "Backpack", "Accessories", "Sneakers", "Fashion", "Coffee Maker", "Kitchen", "Fitness Tracker", "Electronics", "Unknown"), H13)</f>
        <v>40</v>
      </c>
      <c r="K13" s="13">
        <f t="shared" si="1"/>
        <v>0</v>
      </c>
      <c r="L13" s="13" t="str">
        <f t="shared" si="2"/>
        <v>25-NOV</v>
      </c>
      <c r="M13" s="14" t="str">
        <f t="shared" si="3"/>
        <v>AU</v>
      </c>
      <c r="N13" s="13" t="str">
        <f t="shared" si="4"/>
        <v>Sneakers Adidas</v>
      </c>
    </row>
    <row r="14" spans="1:14">
      <c r="A14" s="12" t="s">
        <v>64</v>
      </c>
      <c r="B14" s="12" t="s">
        <v>34</v>
      </c>
      <c r="C14" s="12" t="str">
        <f t="shared" si="0"/>
        <v>Coffee Maker</v>
      </c>
      <c r="D14" s="12" t="s">
        <v>65</v>
      </c>
      <c r="E14" s="12">
        <v>120</v>
      </c>
      <c r="F14" s="12" cm="1">
        <f t="array" ref="F14">IF(ISBLANK(E14), MEDIAN(IF($H$2:$H$35=H14, $E$2:$E$35)), E14)</f>
        <v>120</v>
      </c>
      <c r="G14" s="16" cm="1">
        <f t="array" ref="G14">IF(ISBLANK(F14), MEDIAN(IF($H$2:$H$35=I14, $E$2:$E$35)), F14)</f>
        <v>120</v>
      </c>
      <c r="H14" s="12">
        <v>35</v>
      </c>
      <c r="I14" s="12"/>
      <c r="J14" s="13" cm="1">
        <f t="array" ref="J14">IF(ISBLANK(H14), _xlfn.SWITCH(B14, "Backpack", "Accessories", "Sneakers", "Fashion", "Coffee Maker", "Kitchen", "Fitness Tracker", "Electronics", "Unknown"), H14)</f>
        <v>35</v>
      </c>
      <c r="K14" s="13">
        <f t="shared" si="1"/>
        <v>0</v>
      </c>
      <c r="L14" s="13" t="str">
        <f t="shared" si="2"/>
        <v>08-DEC</v>
      </c>
      <c r="M14" s="14" t="str">
        <f t="shared" si="3"/>
        <v>DE</v>
      </c>
      <c r="N14" s="13" t="str">
        <f t="shared" si="4"/>
        <v>Coffee Maker Nespresso</v>
      </c>
    </row>
    <row r="15" spans="1:14">
      <c r="A15" s="15" t="s">
        <v>66</v>
      </c>
      <c r="B15" s="15" t="s">
        <v>67</v>
      </c>
      <c r="C15" s="12" t="str">
        <f t="shared" si="0"/>
        <v>Smartwatch</v>
      </c>
      <c r="D15" s="15" t="s">
        <v>68</v>
      </c>
      <c r="E15" s="15">
        <v>150</v>
      </c>
      <c r="F15" s="12" cm="1">
        <f t="array" ref="F15">IF(ISBLANK(E15), MEDIAN(IF($H$2:$H$35=H15, $E$2:$E$35)), E15)</f>
        <v>150</v>
      </c>
      <c r="G15" s="16" cm="1">
        <f t="array" ref="G15">IF(ISBLANK(F15), MEDIAN(IF($H$2:$H$35=I15, $E$2:$E$35)), F15)</f>
        <v>150</v>
      </c>
      <c r="H15" s="15">
        <v>15</v>
      </c>
      <c r="I15" s="15" t="s">
        <v>46</v>
      </c>
      <c r="J15" s="13" cm="1">
        <f t="array" ref="J15">IF(ISBLANK(H15), _xlfn.SWITCH(B15, "Backpack", "Accessories", "Sneakers", "Fashion", "Coffee Maker", "Kitchen", "Fitness Tracker", "Electronics", "Unknown"), H15)</f>
        <v>15</v>
      </c>
      <c r="K15" s="13" t="str">
        <f t="shared" si="1"/>
        <v>Electronics</v>
      </c>
      <c r="L15" s="13" t="str">
        <f t="shared" si="2"/>
        <v>18-FEB</v>
      </c>
      <c r="M15" s="14" t="str">
        <f t="shared" si="3"/>
        <v>CA</v>
      </c>
      <c r="N15" s="13" t="str">
        <f t="shared" si="4"/>
        <v>Smartwatch Fitbit</v>
      </c>
    </row>
    <row r="16" spans="1:14">
      <c r="A16" s="12" t="s">
        <v>69</v>
      </c>
      <c r="B16" s="12" t="s">
        <v>70</v>
      </c>
      <c r="C16" s="12" t="str">
        <f t="shared" si="0"/>
        <v>Headphones</v>
      </c>
      <c r="D16" s="12" t="s">
        <v>71</v>
      </c>
      <c r="E16" s="12">
        <v>250</v>
      </c>
      <c r="F16" s="12" cm="1">
        <f t="array" ref="F16">IF(ISBLANK(E16), MEDIAN(IF($H$2:$H$35=H16, $E$2:$E$35)), E16)</f>
        <v>250</v>
      </c>
      <c r="G16" s="16" cm="1">
        <f t="array" ref="G16">IF(ISBLANK(F16), MEDIAN(IF($H$2:$H$35=I16, $E$2:$E$35)), F16)</f>
        <v>250</v>
      </c>
      <c r="H16" s="12">
        <v>20</v>
      </c>
      <c r="I16" s="12" t="s">
        <v>46</v>
      </c>
      <c r="J16" s="13" cm="1">
        <f t="array" ref="J16">IF(ISBLANK(H16), _xlfn.SWITCH(B16, "Backpack", "Accessories", "Sneakers", "Fashion", "Coffee Maker", "Kitchen", "Fitness Tracker", "Electronics", "Unknown"), H16)</f>
        <v>20</v>
      </c>
      <c r="K16" s="13" t="str">
        <f t="shared" si="1"/>
        <v>Electronics</v>
      </c>
      <c r="L16" s="13" t="str">
        <f t="shared" si="2"/>
        <v>16-APR</v>
      </c>
      <c r="M16" s="14" t="str">
        <f t="shared" si="3"/>
        <v>ES</v>
      </c>
      <c r="N16" s="13" t="str">
        <f t="shared" si="4"/>
        <v>headphones Bose</v>
      </c>
    </row>
    <row r="17" spans="1:14">
      <c r="A17" s="15" t="s">
        <v>72</v>
      </c>
      <c r="B17" s="15" t="s">
        <v>73</v>
      </c>
      <c r="C17" s="12" t="str">
        <f t="shared" si="0"/>
        <v>Laptop Bag</v>
      </c>
      <c r="D17" s="15" t="s">
        <v>74</v>
      </c>
      <c r="E17" s="15">
        <v>50</v>
      </c>
      <c r="F17" s="12" cm="1">
        <f t="array" ref="F17">IF(ISBLANK(E17), MEDIAN(IF($H$2:$H$35=H17, $E$2:$E$35)), E17)</f>
        <v>50</v>
      </c>
      <c r="G17" s="16" cm="1">
        <f t="array" ref="G17">IF(ISBLANK(F17), MEDIAN(IF($H$2:$H$35=I17, $E$2:$E$35)), F17)</f>
        <v>50</v>
      </c>
      <c r="H17" s="15">
        <v>35</v>
      </c>
      <c r="I17" s="15" t="s">
        <v>75</v>
      </c>
      <c r="J17" s="13" cm="1">
        <f t="array" ref="J17">IF(ISBLANK(H17), _xlfn.SWITCH(B17, "Backpack", "Accessories", "Sneakers", "Fashion", "Coffee Maker", "Kitchen", "Fitness Tracker", "Electronics", "Unknown"), H17)</f>
        <v>35</v>
      </c>
      <c r="K17" s="13" t="str">
        <f t="shared" si="1"/>
        <v>Accessories</v>
      </c>
      <c r="L17" s="13" t="str">
        <f t="shared" si="2"/>
        <v>21-AUG</v>
      </c>
      <c r="M17" s="14" t="str">
        <f t="shared" si="3"/>
        <v>CA</v>
      </c>
      <c r="N17" s="13" t="str">
        <f t="shared" si="4"/>
        <v>Laptop Bag Samsonite</v>
      </c>
    </row>
    <row r="18" spans="1:14">
      <c r="A18" s="12" t="s">
        <v>76</v>
      </c>
      <c r="B18" s="12" t="s">
        <v>67</v>
      </c>
      <c r="C18" s="12" t="str">
        <f t="shared" si="0"/>
        <v>Smartwatch</v>
      </c>
      <c r="D18" s="12" t="s">
        <v>77</v>
      </c>
      <c r="E18" s="12">
        <v>160</v>
      </c>
      <c r="F18" s="12" cm="1">
        <f t="array" ref="F18">IF(ISBLANK(E18), MEDIAN(IF($H$2:$H$35=H18, $E$2:$E$35)), E18)</f>
        <v>160</v>
      </c>
      <c r="G18" s="16" cm="1">
        <f t="array" ref="G18">IF(ISBLANK(F18), MEDIAN(IF($H$2:$H$35=I18, $E$2:$E$35)), F18)</f>
        <v>160</v>
      </c>
      <c r="H18" s="12">
        <v>15</v>
      </c>
      <c r="I18" s="12" t="s">
        <v>46</v>
      </c>
      <c r="J18" s="13" cm="1">
        <f t="array" ref="J18">IF(ISBLANK(H18), _xlfn.SWITCH(B18, "Backpack", "Accessories", "Sneakers", "Fashion", "Coffee Maker", "Kitchen", "Fitness Tracker", "Electronics", "Unknown"), H18)</f>
        <v>15</v>
      </c>
      <c r="K18" s="13" t="str">
        <f t="shared" si="1"/>
        <v>Electronics</v>
      </c>
      <c r="L18" s="13" t="str">
        <f t="shared" si="2"/>
        <v>20-AUG</v>
      </c>
      <c r="M18" s="14" t="str">
        <f t="shared" si="3"/>
        <v>CN</v>
      </c>
      <c r="N18" s="13" t="str">
        <f t="shared" si="4"/>
        <v>Smartwatch Huawei</v>
      </c>
    </row>
    <row r="19" spans="1:14">
      <c r="A19" s="15" t="s">
        <v>78</v>
      </c>
      <c r="B19" s="15" t="s">
        <v>26</v>
      </c>
      <c r="C19" s="12" t="str">
        <f t="shared" si="0"/>
        <v>Laptop</v>
      </c>
      <c r="D19" s="15" t="s">
        <v>79</v>
      </c>
      <c r="E19" s="15">
        <v>980</v>
      </c>
      <c r="F19" s="12" cm="1">
        <f t="array" ref="F19">IF(ISBLANK(E19), MEDIAN(IF($H$2:$H$35=H19, $E$2:$E$35)), E19)</f>
        <v>980</v>
      </c>
      <c r="G19" s="16" cm="1">
        <f t="array" ref="G19">IF(ISBLANK(F19), MEDIAN(IF($H$2:$H$35=I19, $E$2:$E$35)), F19)</f>
        <v>980</v>
      </c>
      <c r="H19" s="15">
        <v>10</v>
      </c>
      <c r="I19" s="15" t="s">
        <v>28</v>
      </c>
      <c r="J19" s="13" cm="1">
        <f t="array" ref="J19">IF(ISBLANK(H19), _xlfn.SWITCH(B19, "Backpack", "Accessories", "Sneakers", "Fashion", "Coffee Maker", "Kitchen", "Fitness Tracker", "Electronics", "Unknown"), H19)</f>
        <v>10</v>
      </c>
      <c r="K19" s="13" t="str">
        <f t="shared" si="1"/>
        <v>Electronics</v>
      </c>
      <c r="L19" s="13" t="str">
        <f t="shared" si="2"/>
        <v>27-JAN</v>
      </c>
      <c r="M19" s="14" t="str">
        <f t="shared" si="3"/>
        <v>IT</v>
      </c>
      <c r="N19" s="13" t="str">
        <f t="shared" si="4"/>
        <v>laptop Asus</v>
      </c>
    </row>
    <row r="20" spans="1:14">
      <c r="A20" s="12" t="s">
        <v>80</v>
      </c>
      <c r="B20" s="12" t="s">
        <v>81</v>
      </c>
      <c r="C20" s="12" t="str">
        <f t="shared" si="0"/>
        <v>Sunglasses</v>
      </c>
      <c r="D20" s="12" t="s">
        <v>82</v>
      </c>
      <c r="E20" s="12">
        <v>150</v>
      </c>
      <c r="F20" s="12" cm="1">
        <f t="array" ref="F20">IF(ISBLANK(E20), MEDIAN(IF($H$2:$H$35=H20, $E$2:$E$35)), E20)</f>
        <v>150</v>
      </c>
      <c r="G20" s="16" cm="1">
        <f t="array" ref="G20">IF(ISBLANK(F20), MEDIAN(IF($H$2:$H$35=I20, $E$2:$E$35)), F20)</f>
        <v>150</v>
      </c>
      <c r="H20" s="12">
        <v>15</v>
      </c>
      <c r="I20" s="12" t="s">
        <v>32</v>
      </c>
      <c r="J20" s="13" cm="1">
        <f t="array" ref="J20">IF(ISBLANK(H20), _xlfn.SWITCH(B20, "Backpack", "Accessories", "Sneakers", "Fashion", "Coffee Maker", "Kitchen", "Fitness Tracker", "Electronics", "Unknown"), H20)</f>
        <v>15</v>
      </c>
      <c r="K20" s="13" t="str">
        <f t="shared" si="1"/>
        <v>Fashion</v>
      </c>
      <c r="L20" s="13" t="str">
        <f t="shared" si="2"/>
        <v>01-MAR</v>
      </c>
      <c r="M20" s="14" t="str">
        <f t="shared" si="3"/>
        <v>UK</v>
      </c>
      <c r="N20" s="13" t="str">
        <f t="shared" si="4"/>
        <v>Sunglasses Oakley</v>
      </c>
    </row>
    <row r="21" spans="1:14">
      <c r="A21" s="15" t="s">
        <v>83</v>
      </c>
      <c r="B21" s="15" t="s">
        <v>84</v>
      </c>
      <c r="C21" s="12" t="str">
        <f t="shared" si="0"/>
        <v>Camping Tent</v>
      </c>
      <c r="D21" s="15" t="s">
        <v>85</v>
      </c>
      <c r="E21" s="15"/>
      <c r="F21" s="12" cm="1">
        <f t="array" ref="F21">IF(ISBLANK(E21), MEDIAN(IF($H$2:$H$35=H21, $E$2:$E$35)), E21)</f>
        <v>85</v>
      </c>
      <c r="G21" s="16" cm="1">
        <f t="array" ref="G21">IF(ISBLANK(F21), MEDIAN(IF($H$2:$H$35=I21, $E$2:$E$35)), F21)</f>
        <v>85</v>
      </c>
      <c r="H21" s="15">
        <v>10</v>
      </c>
      <c r="I21" s="15" t="s">
        <v>59</v>
      </c>
      <c r="J21" s="13" cm="1">
        <f t="array" ref="J21">IF(ISBLANK(H21), _xlfn.SWITCH(B21, "Backpack", "Accessories", "Sneakers", "Fashion", "Coffee Maker", "Kitchen", "Fitness Tracker", "Electronics", "Unknown"), H21)</f>
        <v>10</v>
      </c>
      <c r="K21" s="13" t="str">
        <f t="shared" si="1"/>
        <v>Outdoor</v>
      </c>
      <c r="L21" s="13" t="str">
        <f t="shared" si="2"/>
        <v>14-AUG</v>
      </c>
      <c r="M21" s="14" t="str">
        <f t="shared" si="3"/>
        <v>US</v>
      </c>
      <c r="N21" s="13" t="str">
        <f t="shared" si="4"/>
        <v>Camping Tent Coleman</v>
      </c>
    </row>
    <row r="22" spans="1:14">
      <c r="A22" s="12" t="s">
        <v>86</v>
      </c>
      <c r="B22" s="12" t="s">
        <v>87</v>
      </c>
      <c r="C22" s="12" t="str">
        <f t="shared" si="0"/>
        <v>Camera</v>
      </c>
      <c r="D22" s="12" t="s">
        <v>88</v>
      </c>
      <c r="E22" s="12">
        <v>700</v>
      </c>
      <c r="F22" s="12" cm="1">
        <f t="array" ref="F22">IF(ISBLANK(E22), MEDIAN(IF($H$2:$H$35=H22, $E$2:$E$35)), E22)</f>
        <v>700</v>
      </c>
      <c r="G22" s="16" cm="1">
        <f t="array" ref="G22">IF(ISBLANK(F22), MEDIAN(IF($H$2:$H$35=I22, $E$2:$E$35)), F22)</f>
        <v>700</v>
      </c>
      <c r="H22" s="12">
        <v>50</v>
      </c>
      <c r="I22" s="12" t="s">
        <v>28</v>
      </c>
      <c r="J22" s="13" cm="1">
        <f t="array" ref="J22">IF(ISBLANK(H22), _xlfn.SWITCH(B22, "Backpack", "Accessories", "Sneakers", "Fashion", "Coffee Maker", "Kitchen", "Fitness Tracker", "Electronics", "Unknown"), H22)</f>
        <v>50</v>
      </c>
      <c r="K22" s="13" t="str">
        <f t="shared" si="1"/>
        <v>Electronics</v>
      </c>
      <c r="L22" s="13" t="str">
        <f t="shared" si="2"/>
        <v>14-MAY</v>
      </c>
      <c r="M22" s="14" t="str">
        <f t="shared" si="3"/>
        <v>RU</v>
      </c>
      <c r="N22" s="13" t="str">
        <f t="shared" si="4"/>
        <v>Camera Nikon</v>
      </c>
    </row>
    <row r="23" spans="1:14">
      <c r="A23" s="15" t="s">
        <v>89</v>
      </c>
      <c r="B23" s="15" t="s">
        <v>90</v>
      </c>
      <c r="C23" s="12" t="str">
        <f t="shared" si="0"/>
        <v>Microwave</v>
      </c>
      <c r="D23" s="15" t="s">
        <v>91</v>
      </c>
      <c r="E23" s="15">
        <v>80</v>
      </c>
      <c r="F23" s="12" cm="1">
        <f t="array" ref="F23">IF(ISBLANK(E23), MEDIAN(IF($H$2:$H$35=H23, $E$2:$E$35)), E23)</f>
        <v>80</v>
      </c>
      <c r="G23" s="16" cm="1">
        <f t="array" ref="G23">IF(ISBLANK(F23), MEDIAN(IF($H$2:$H$35=I23, $E$2:$E$35)), F23)</f>
        <v>80</v>
      </c>
      <c r="H23" s="15">
        <v>20</v>
      </c>
      <c r="I23" s="15" t="s">
        <v>36</v>
      </c>
      <c r="J23" s="13" cm="1">
        <f t="array" ref="J23">IF(ISBLANK(H23), _xlfn.SWITCH(B23, "Backpack", "Accessories", "Sneakers", "Fashion", "Coffee Maker", "Kitchen", "Fitness Tracker", "Electronics", "Unknown"), H23)</f>
        <v>20</v>
      </c>
      <c r="K23" s="13" t="str">
        <f t="shared" si="1"/>
        <v>Kitchen</v>
      </c>
      <c r="L23" s="13" t="str">
        <f t="shared" si="2"/>
        <v>09-JAN</v>
      </c>
      <c r="M23" s="14" t="str">
        <f t="shared" si="3"/>
        <v>CA</v>
      </c>
      <c r="N23" s="13" t="str">
        <f t="shared" si="4"/>
        <v>Microwave Panasonic</v>
      </c>
    </row>
    <row r="24" spans="1:14">
      <c r="A24" s="12" t="s">
        <v>92</v>
      </c>
      <c r="B24" s="12" t="s">
        <v>93</v>
      </c>
      <c r="C24" s="12" t="str">
        <f t="shared" si="0"/>
        <v>Fitness Tracker</v>
      </c>
      <c r="D24" s="12" t="s">
        <v>94</v>
      </c>
      <c r="E24" s="12">
        <v>150</v>
      </c>
      <c r="F24" s="12" cm="1">
        <f t="array" ref="F24">IF(ISBLANK(E24), MEDIAN(IF($H$2:$H$35=H24, $E$2:$E$35)), E24)</f>
        <v>150</v>
      </c>
      <c r="G24" s="16" cm="1">
        <f t="array" ref="G24">IF(ISBLANK(F24), MEDIAN(IF($H$2:$H$35=I24, $E$2:$E$35)), F24)</f>
        <v>150</v>
      </c>
      <c r="H24" s="12">
        <v>30</v>
      </c>
      <c r="I24" s="12"/>
      <c r="J24" s="13" cm="1">
        <f t="array" ref="J24">IF(ISBLANK(H24), _xlfn.SWITCH(B24, "Backpack", "Accessories", "Sneakers", "Fashion", "Coffee Maker", "Kitchen", "Fitness Tracker", "Electronics", "Unknown"), H24)</f>
        <v>30</v>
      </c>
      <c r="K24" s="13">
        <f t="shared" si="1"/>
        <v>0</v>
      </c>
      <c r="L24" s="13" t="str">
        <f t="shared" si="2"/>
        <v>19-JUL</v>
      </c>
      <c r="M24" s="14" t="str">
        <f t="shared" si="3"/>
        <v>BR</v>
      </c>
      <c r="N24" s="13" t="str">
        <f t="shared" si="4"/>
        <v>Fitness Tracker Xiaomi</v>
      </c>
    </row>
    <row r="25" spans="1:14">
      <c r="A25" s="15" t="s">
        <v>72</v>
      </c>
      <c r="B25" s="15" t="s">
        <v>73</v>
      </c>
      <c r="C25" s="12" t="str">
        <f t="shared" si="0"/>
        <v>Laptop Bag</v>
      </c>
      <c r="D25" s="15" t="s">
        <v>74</v>
      </c>
      <c r="E25" s="15">
        <v>50</v>
      </c>
      <c r="F25" s="12" cm="1">
        <f t="array" ref="F25">IF(ISBLANK(E25), MEDIAN(IF($H$2:$H$35=H25, $E$2:$E$35)), E25)</f>
        <v>50</v>
      </c>
      <c r="G25" s="16" cm="1">
        <f t="array" ref="G25">IF(ISBLANK(F25), MEDIAN(IF($H$2:$H$35=I25, $E$2:$E$35)), F25)</f>
        <v>50</v>
      </c>
      <c r="H25" s="15">
        <v>35</v>
      </c>
      <c r="I25" s="15" t="s">
        <v>75</v>
      </c>
      <c r="J25" s="13" cm="1">
        <f t="array" ref="J25">IF(ISBLANK(H25), _xlfn.SWITCH(B25, "Backpack", "Accessories", "Sneakers", "Fashion", "Coffee Maker", "Kitchen", "Fitness Tracker", "Electronics", "Unknown"), H25)</f>
        <v>35</v>
      </c>
      <c r="K25" s="13" t="str">
        <f t="shared" si="1"/>
        <v>Accessories</v>
      </c>
      <c r="L25" s="13" t="str">
        <f t="shared" si="2"/>
        <v>21-AUG</v>
      </c>
      <c r="M25" s="14" t="str">
        <f t="shared" si="3"/>
        <v>CA</v>
      </c>
      <c r="N25" s="13" t="str">
        <f t="shared" si="4"/>
        <v>Laptop Bag Samsonite</v>
      </c>
    </row>
    <row r="26" spans="1:14">
      <c r="A26" s="12" t="s">
        <v>95</v>
      </c>
      <c r="B26" s="12" t="s">
        <v>96</v>
      </c>
      <c r="C26" s="12" t="str">
        <f t="shared" si="0"/>
        <v>Smartphone</v>
      </c>
      <c r="D26" s="12" t="s">
        <v>97</v>
      </c>
      <c r="E26" s="12">
        <v>800</v>
      </c>
      <c r="F26" s="12" cm="1">
        <f t="array" ref="F26">IF(ISBLANK(E26), MEDIAN(IF($H$2:$H$35=H26, $E$2:$E$35)), E26)</f>
        <v>800</v>
      </c>
      <c r="G26" s="16" cm="1">
        <f t="array" ref="G26">IF(ISBLANK(F26), MEDIAN(IF($H$2:$H$35=I26, $E$2:$E$35)), F26)</f>
        <v>800</v>
      </c>
      <c r="H26" s="12">
        <v>45</v>
      </c>
      <c r="I26" s="12" t="s">
        <v>28</v>
      </c>
      <c r="J26" s="13" cm="1">
        <f t="array" ref="J26">IF(ISBLANK(H26), _xlfn.SWITCH(B26, "Backpack", "Accessories", "Sneakers", "Fashion", "Coffee Maker", "Kitchen", "Fitness Tracker", "Electronics", "Unknown"), H26)</f>
        <v>45</v>
      </c>
      <c r="K26" s="13" t="str">
        <f t="shared" si="1"/>
        <v>Electronics</v>
      </c>
      <c r="L26" s="13" t="str">
        <f t="shared" si="2"/>
        <v>29-SEP</v>
      </c>
      <c r="M26" s="14" t="str">
        <f t="shared" si="3"/>
        <v>CA</v>
      </c>
      <c r="N26" s="13" t="str">
        <f t="shared" si="4"/>
        <v>Smartphone Google</v>
      </c>
    </row>
    <row r="27" spans="1:14">
      <c r="A27" s="15" t="s">
        <v>98</v>
      </c>
      <c r="B27" s="15" t="s">
        <v>81</v>
      </c>
      <c r="C27" s="12" t="str">
        <f t="shared" si="0"/>
        <v>Sunglasses</v>
      </c>
      <c r="D27" s="15" t="s">
        <v>99</v>
      </c>
      <c r="E27" s="15"/>
      <c r="F27" s="12" cm="1">
        <f t="array" ref="F27">IF(ISBLANK(E27), MEDIAN(IF($H$2:$H$35=H27, $E$2:$E$35)), E27)</f>
        <v>925</v>
      </c>
      <c r="G27" s="16" cm="1">
        <f t="array" ref="G27">IF(ISBLANK(F27), MEDIAN(IF($H$2:$H$35=I27, $E$2:$E$35)), F27)</f>
        <v>925</v>
      </c>
      <c r="H27" s="15">
        <v>25</v>
      </c>
      <c r="I27" s="15" t="s">
        <v>32</v>
      </c>
      <c r="J27" s="13" cm="1">
        <f t="array" ref="J27">IF(ISBLANK(H27), _xlfn.SWITCH(B27, "Backpack", "Accessories", "Sneakers", "Fashion", "Coffee Maker", "Kitchen", "Fitness Tracker", "Electronics", "Unknown"), H27)</f>
        <v>25</v>
      </c>
      <c r="K27" s="13" t="str">
        <f>IF(LEFT(TRIM(I27), 9)="Electroni", "Electronics", I27)</f>
        <v>Fashion</v>
      </c>
      <c r="L27" s="13" t="str">
        <f t="shared" si="2"/>
        <v>03-JUN</v>
      </c>
      <c r="M27" s="14" t="str">
        <f t="shared" si="3"/>
        <v>CA</v>
      </c>
      <c r="N27" s="13" t="str">
        <f t="shared" si="4"/>
        <v>Sunglasses Ray-Ban</v>
      </c>
    </row>
    <row r="28" spans="1:14">
      <c r="A28" s="12" t="s">
        <v>100</v>
      </c>
      <c r="B28" s="12" t="s">
        <v>51</v>
      </c>
      <c r="C28" s="12" t="str">
        <f t="shared" si="0"/>
        <v>Blender</v>
      </c>
      <c r="D28" s="12" t="s">
        <v>101</v>
      </c>
      <c r="E28" s="12">
        <v>400</v>
      </c>
      <c r="F28" s="12" cm="1">
        <f t="array" ref="F28">IF(ISBLANK(E28), MEDIAN(IF($H$2:$H$35=H28, $E$2:$E$35)), E28)</f>
        <v>400</v>
      </c>
      <c r="G28" s="16" cm="1">
        <f t="array" ref="G28">IF(ISBLANK(F28), MEDIAN(IF($H$2:$H$35=I28, $E$2:$E$35)), F28)</f>
        <v>400</v>
      </c>
      <c r="H28" s="12">
        <v>40</v>
      </c>
      <c r="I28" s="12" t="s">
        <v>36</v>
      </c>
      <c r="J28" s="13" cm="1">
        <f t="array" ref="J28">IF(ISBLANK(H28), _xlfn.SWITCH(B28, "Backpack", "Accessories", "Sneakers", "Fashion", "Coffee Maker", "Kitchen", "Fitness Tracker", "Electronics", "Unknown"), H28)</f>
        <v>40</v>
      </c>
      <c r="K28" s="13" t="str">
        <f t="shared" si="1"/>
        <v>Kitchen</v>
      </c>
      <c r="L28" s="13" t="str">
        <f t="shared" si="2"/>
        <v>11-JUL</v>
      </c>
      <c r="M28" s="14" t="str">
        <f t="shared" si="3"/>
        <v>CA</v>
      </c>
      <c r="N28" s="13" t="str">
        <f t="shared" si="4"/>
        <v>Blender Vitamix</v>
      </c>
    </row>
    <row r="29" spans="1:14">
      <c r="A29" s="15" t="s">
        <v>69</v>
      </c>
      <c r="B29" s="15" t="s">
        <v>70</v>
      </c>
      <c r="C29" s="12" t="str">
        <f t="shared" si="0"/>
        <v>Headphones</v>
      </c>
      <c r="D29" s="15" t="s">
        <v>71</v>
      </c>
      <c r="E29" s="15">
        <v>250</v>
      </c>
      <c r="F29" s="12" cm="1">
        <f t="array" ref="F29">IF(ISBLANK(E29), MEDIAN(IF($H$2:$H$35=H29, $E$2:$E$35)), E29)</f>
        <v>250</v>
      </c>
      <c r="G29" s="16" cm="1">
        <f t="array" ref="G29">IF(ISBLANK(F29), MEDIAN(IF($H$2:$H$35=I29, $E$2:$E$35)), F29)</f>
        <v>250</v>
      </c>
      <c r="H29" s="15">
        <v>20</v>
      </c>
      <c r="I29" s="15" t="s">
        <v>46</v>
      </c>
      <c r="J29" s="13" cm="1">
        <f t="array" ref="J29">IF(ISBLANK(H29), _xlfn.SWITCH(B29, "Backpack", "Accessories", "Sneakers", "Fashion", "Coffee Maker", "Kitchen", "Fitness Tracker", "Electronics", "Unknown"), H29)</f>
        <v>20</v>
      </c>
      <c r="K29" s="13" t="str">
        <f t="shared" si="1"/>
        <v>Electronics</v>
      </c>
      <c r="L29" s="13" t="str">
        <f t="shared" si="2"/>
        <v>16-APR</v>
      </c>
      <c r="M29" s="14" t="str">
        <f t="shared" si="3"/>
        <v>ES</v>
      </c>
      <c r="N29" s="13" t="str">
        <f t="shared" si="4"/>
        <v>headphones Bose</v>
      </c>
    </row>
    <row r="30" spans="1:14">
      <c r="A30" s="12" t="s">
        <v>102</v>
      </c>
      <c r="B30" s="12" t="s">
        <v>103</v>
      </c>
      <c r="C30" s="12" t="str">
        <f t="shared" si="0"/>
        <v>Dress</v>
      </c>
      <c r="D30" s="12" t="s">
        <v>104</v>
      </c>
      <c r="E30" s="12">
        <v>60</v>
      </c>
      <c r="F30" s="12" cm="1">
        <f t="array" ref="F30">IF(ISBLANK(E30), MEDIAN(IF($H$2:$H$35=H30, $E$2:$E$35)), E30)</f>
        <v>60</v>
      </c>
      <c r="G30" s="16" cm="1">
        <f t="array" ref="G30">IF(ISBLANK(F30), MEDIAN(IF($H$2:$H$35=I30, $E$2:$E$35)), F30)</f>
        <v>60</v>
      </c>
      <c r="H30" s="12">
        <v>30</v>
      </c>
      <c r="I30" s="12" t="s">
        <v>32</v>
      </c>
      <c r="J30" s="13" cm="1">
        <f t="array" ref="J30">IF(ISBLANK(H30), _xlfn.SWITCH(B30, "Backpack", "Accessories", "Sneakers", "Fashion", "Coffee Maker", "Kitchen", "Fitness Tracker", "Electronics", "Unknown"), H30)</f>
        <v>30</v>
      </c>
      <c r="K30" s="13" t="str">
        <f t="shared" si="1"/>
        <v>Fashion</v>
      </c>
      <c r="L30" s="13" t="str">
        <f t="shared" si="2"/>
        <v>07-MAR</v>
      </c>
      <c r="M30" s="14" t="str">
        <f t="shared" si="3"/>
        <v>CA</v>
      </c>
      <c r="N30" s="13" t="str">
        <f t="shared" si="4"/>
        <v>Dress Zara</v>
      </c>
    </row>
    <row r="31" spans="1:14">
      <c r="A31" s="15" t="s">
        <v>105</v>
      </c>
      <c r="B31" s="15" t="s">
        <v>106</v>
      </c>
      <c r="C31" s="12" t="str">
        <f t="shared" si="0"/>
        <v>Toaster</v>
      </c>
      <c r="D31" s="15" t="s">
        <v>107</v>
      </c>
      <c r="E31" s="15">
        <v>40</v>
      </c>
      <c r="F31" s="12" cm="1">
        <f t="array" ref="F31">IF(ISBLANK(E31), MEDIAN(IF($H$2:$H$35=H31, $E$2:$E$35)), E31)</f>
        <v>40</v>
      </c>
      <c r="G31" s="16" cm="1">
        <f t="array" ref="G31">IF(ISBLANK(F31), MEDIAN(IF($H$2:$H$35=I31, $E$2:$E$35)), F31)</f>
        <v>40</v>
      </c>
      <c r="H31" s="15">
        <v>10</v>
      </c>
      <c r="I31" s="15" t="s">
        <v>36</v>
      </c>
      <c r="J31" s="13" cm="1">
        <f t="array" ref="J31">IF(ISBLANK(H31), _xlfn.SWITCH(B31, "Backpack", "Accessories", "Sneakers", "Fashion", "Coffee Maker", "Kitchen", "Fitness Tracker", "Electronics", "Unknown"), H31)</f>
        <v>10</v>
      </c>
      <c r="K31" s="13" t="str">
        <f t="shared" si="1"/>
        <v>Kitchen</v>
      </c>
      <c r="L31" s="13" t="str">
        <f t="shared" si="2"/>
        <v>13-APR</v>
      </c>
      <c r="M31" s="14" t="str">
        <f t="shared" si="3"/>
        <v>CA</v>
      </c>
      <c r="N31" s="13" t="str">
        <f t="shared" si="4"/>
        <v>Toaster Hamilton</v>
      </c>
    </row>
    <row r="32" spans="1:14">
      <c r="A32" s="12" t="s">
        <v>108</v>
      </c>
      <c r="B32" s="12" t="s">
        <v>93</v>
      </c>
      <c r="C32" s="12" t="str">
        <f t="shared" si="0"/>
        <v>Fitness Tracker</v>
      </c>
      <c r="D32" s="12" t="s">
        <v>109</v>
      </c>
      <c r="E32" s="12">
        <v>130</v>
      </c>
      <c r="F32" s="12" cm="1">
        <f t="array" ref="F32">IF(ISBLANK(E32), MEDIAN(IF($H$2:$H$35=H32, $E$2:$E$35)), E32)</f>
        <v>130</v>
      </c>
      <c r="G32" s="16" cm="1">
        <f t="array" ref="G32">IF(ISBLANK(F32), MEDIAN(IF($H$2:$H$35=I32, $E$2:$E$35)), F32)</f>
        <v>130</v>
      </c>
      <c r="H32" s="12">
        <v>5</v>
      </c>
      <c r="I32" s="12" t="s">
        <v>28</v>
      </c>
      <c r="J32" s="13" cm="1">
        <f t="array" ref="J32">IF(ISBLANK(H32), _xlfn.SWITCH(B32, "Backpack", "Accessories", "Sneakers", "Fashion", "Coffee Maker", "Kitchen", "Fitness Tracker", "Electronics", "Unknown"), H32)</f>
        <v>5</v>
      </c>
      <c r="K32" s="13" t="str">
        <f t="shared" si="1"/>
        <v>Electronics</v>
      </c>
      <c r="L32" s="13" t="str">
        <f t="shared" si="2"/>
        <v>24-MAY</v>
      </c>
      <c r="M32" s="14" t="str">
        <f t="shared" si="3"/>
        <v>CA</v>
      </c>
      <c r="N32" s="13" t="str">
        <f t="shared" si="4"/>
        <v>Fitness Tracker Garmin</v>
      </c>
    </row>
    <row r="33" spans="1:14">
      <c r="A33" s="15" t="s">
        <v>110</v>
      </c>
      <c r="B33" s="15" t="s">
        <v>111</v>
      </c>
      <c r="C33" s="12" t="str">
        <f t="shared" si="0"/>
        <v>Jeans</v>
      </c>
      <c r="D33" s="15" t="s">
        <v>112</v>
      </c>
      <c r="E33" s="15">
        <v>50</v>
      </c>
      <c r="F33" s="12" cm="1">
        <f t="array" ref="F33">IF(ISBLANK(E33), MEDIAN(IF($H$2:$H$35=H33, $E$2:$E$35)), E33)</f>
        <v>50</v>
      </c>
      <c r="G33" s="16" cm="1">
        <f t="array" ref="G33">IF(ISBLANK(F33), MEDIAN(IF($H$2:$H$35=I33, $E$2:$E$35)), F33)</f>
        <v>50</v>
      </c>
      <c r="H33" s="15">
        <v>50</v>
      </c>
      <c r="I33" s="15" t="s">
        <v>32</v>
      </c>
      <c r="J33" s="13" cm="1">
        <f t="array" ref="J33">IF(ISBLANK(H33), _xlfn.SWITCH(B33, "Backpack", "Accessories", "Sneakers", "Fashion", "Coffee Maker", "Kitchen", "Fitness Tracker", "Electronics", "Unknown"), H33)</f>
        <v>50</v>
      </c>
      <c r="K33" s="13" t="str">
        <f t="shared" si="1"/>
        <v>Fashion</v>
      </c>
      <c r="L33" s="13" t="str">
        <f t="shared" si="2"/>
        <v>02-DEC</v>
      </c>
      <c r="M33" s="14" t="str">
        <f t="shared" si="3"/>
        <v>CA</v>
      </c>
      <c r="N33" s="13" t="str">
        <f t="shared" si="4"/>
        <v>Jeans Levi'S</v>
      </c>
    </row>
    <row r="34" spans="1:14">
      <c r="A34" s="12" t="s">
        <v>60</v>
      </c>
      <c r="B34" s="12" t="s">
        <v>61</v>
      </c>
      <c r="C34" s="12" t="str">
        <f t="shared" si="0"/>
        <v>Laptop</v>
      </c>
      <c r="D34" s="12" t="s">
        <v>62</v>
      </c>
      <c r="E34" s="12">
        <v>950</v>
      </c>
      <c r="F34" s="12" cm="1">
        <f t="array" ref="F34">IF(ISBLANK(E34), MEDIAN(IF($H$2:$H$35=H34, $E$2:$E$35)), E34)</f>
        <v>950</v>
      </c>
      <c r="G34" s="16" cm="1">
        <f t="array" ref="G34">IF(ISBLANK(F34), MEDIAN(IF($H$2:$H$35=I34, $E$2:$E$35)), F34)</f>
        <v>950</v>
      </c>
      <c r="H34" s="12">
        <v>25</v>
      </c>
      <c r="I34" s="12" t="s">
        <v>28</v>
      </c>
      <c r="J34" s="13" cm="1">
        <f t="array" ref="J34">IF(ISBLANK(H34), _xlfn.SWITCH(B34, "Backpack", "Accessories", "Sneakers", "Fashion", "Coffee Maker", "Kitchen", "Fitness Tracker", "Electronics", "Unknown"), H34)</f>
        <v>25</v>
      </c>
      <c r="K34" s="13" t="str">
        <f t="shared" si="1"/>
        <v>Electronics</v>
      </c>
      <c r="L34" s="13" t="str">
        <f t="shared" si="2"/>
        <v>17-JUN</v>
      </c>
      <c r="M34" s="14" t="str">
        <f t="shared" si="3"/>
        <v>IN</v>
      </c>
      <c r="N34" s="13" t="str">
        <f t="shared" si="4"/>
        <v>Laptop Hp</v>
      </c>
    </row>
    <row r="35" spans="1:14">
      <c r="A35" s="15" t="s">
        <v>113</v>
      </c>
      <c r="B35" s="15" t="s">
        <v>114</v>
      </c>
      <c r="C35" s="12" t="str">
        <f t="shared" si="0"/>
        <v>Watch</v>
      </c>
      <c r="D35" s="15" t="s">
        <v>115</v>
      </c>
      <c r="E35" s="15">
        <v>100</v>
      </c>
      <c r="F35" s="12" cm="1">
        <f t="array" ref="F35">IF(ISBLANK(E35), MEDIAN(IF($H$2:$H$35=H35, $E$2:$E$35)), E35)</f>
        <v>100</v>
      </c>
      <c r="G35" s="16" cm="1">
        <f t="array" ref="G35">IF(ISBLANK(F35), MEDIAN(IF($H$2:$H$35=I35, $E$2:$E$35)), F35)</f>
        <v>100</v>
      </c>
      <c r="H35" s="15">
        <v>20</v>
      </c>
      <c r="I35" s="15" t="s">
        <v>75</v>
      </c>
      <c r="J35" s="13" cm="1">
        <f t="array" ref="J35">IF(ISBLANK(H35), _xlfn.SWITCH(B35, "Backpack", "Accessories", "Sneakers", "Fashion", "Coffee Maker", "Kitchen", "Fitness Tracker", "Electronics", "Unknown"), H35)</f>
        <v>20</v>
      </c>
      <c r="K35" s="13" t="str">
        <f t="shared" si="1"/>
        <v>Accessories</v>
      </c>
      <c r="L35" s="13" t="str">
        <f t="shared" si="2"/>
        <v>09-JUL</v>
      </c>
      <c r="M35" s="14" t="str">
        <f t="shared" si="3"/>
        <v>FR</v>
      </c>
      <c r="N35" s="13" t="str">
        <f t="shared" si="4"/>
        <v>Watch Casio</v>
      </c>
    </row>
  </sheetData>
  <conditionalFormatting sqref="E2:E35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{CCA29E23-68FF-4F3D-9D2B-BC6B08561A94}</x14:id>
        </ext>
      </extLst>
    </cfRule>
  </conditionalFormatting>
  <conditionalFormatting sqref="I1:I35">
    <cfRule type="cellIs" dxfId="0" priority="1" operator="equal">
      <formula>"Electronics"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A29E23-68FF-4F3D-9D2B-BC6B08561A9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E2:E35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Neethu Praveen</dc:creator>
  <cp:lastModifiedBy>Neethu Praveen</cp:lastModifiedBy>
  <dcterms:created xsi:type="dcterms:W3CDTF">2026-09-24T13:26:17Z</dcterms:created>
  <dcterms:modified xsi:type="dcterms:W3CDTF">2026-09-24T13:26:17Z</dcterms:modified>
</cp:coreProperties>
</file>